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Historicals" sheetId="3" state="visible" r:id="rId5"/>
    <sheet name="Comps" sheetId="4" state="visible" r:id="rId6"/>
    <sheet name="DCF" sheetId="5" state="visible" r:id="rId7"/>
    <sheet name="PE Stake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Assumes half of 2026–2031 free cash flow is distributed pro-rata; NFL owners typically reinvest. Edit the 0.5 factor.</t>
        </r>
      </text>
    </comment>
    <comment ref="C17" authorId="0">
      <text>
        <r>
          <rPr>
            <sz val="10"/>
            <rFont val="Arial"/>
            <family val="2"/>
          </rPr>
          <t xml:space="preserve">Assumes half of 2026–2031 free cash flow is distributed pro-rata; NFL owners typically reinvest. Edit the 0.5 factor.</t>
        </r>
      </text>
    </comment>
    <comment ref="C24" authorId="0">
      <text>
        <r>
          <rPr>
            <sz val="10"/>
            <rFont val="Arial"/>
            <family val="2"/>
          </rPr>
          <t xml:space="preserve">Ignores distributions; solves (1+g)^N = target multiple ÷ discount unwind</t>
        </r>
      </text>
    </comment>
    <comment ref="D17" authorId="0">
      <text>
        <r>
          <rPr>
            <sz val="10"/>
            <rFont val="Arial"/>
            <family val="2"/>
          </rPr>
          <t xml:space="preserve">Assumes half of 2026–2031 free cash flow is distributed pro-rata; NFL owners typically reinvest. Edit the 0.5 factor.</t>
        </r>
      </text>
    </comment>
  </commentList>
</comments>
</file>

<file path=xl/sharedStrings.xml><?xml version="1.0" encoding="utf-8"?>
<sst xmlns="http://schemas.openxmlformats.org/spreadsheetml/2006/main" count="303" uniqueCount="277">
  <si>
    <t xml:space="preserve">Carolina Panthers — Valuation Summary ('Football Field')</t>
  </si>
  <si>
    <t xml:space="preserve">All figures $mm, enterprise value. Prepared by Vincent Huang, UNC Charlotte, Oct 2026. Links pull from the other tabs; change Inputs and this page updates.</t>
  </si>
  <si>
    <t xml:space="preserve">Method</t>
  </si>
  <si>
    <t xml:space="preserve">Low</t>
  </si>
  <si>
    <t xml:space="preserve">High</t>
  </si>
  <si>
    <t xml:space="preserve">Midpoint</t>
  </si>
  <si>
    <t xml:space="preserve">Width (chart)</t>
  </si>
  <si>
    <t xml:space="preserve">Basis</t>
  </si>
  <si>
    <t xml:space="preserve">Published valuations (Sportico / Forbes)</t>
  </si>
  <si>
    <t xml:space="preserve">Sept 2026 lists</t>
  </si>
  <si>
    <t xml:space="preserve">Precedent transactions (deal min – median)</t>
  </si>
  <si>
    <t xml:space="preserve">EV/revenue from 2022–26 NFL sales × 2025 revenue</t>
  </si>
  <si>
    <t xml:space="preserve">Precedent transactions (median – max)</t>
  </si>
  <si>
    <t xml:space="preserve">Same, upper half of the range</t>
  </si>
  <si>
    <t xml:space="preserve">DCF — exit multiple (7–10% discount, 10–14x)</t>
  </si>
  <si>
    <t xml:space="preserve">Cash flows + terminal multiple</t>
  </si>
  <si>
    <t xml:space="preserve">DCF — perpetuity growth</t>
  </si>
  <si>
    <t xml:space="preserve">Cash flows only; shows the scarcity premium</t>
  </si>
  <si>
    <t xml:space="preserve">PE entry (after 20% LP discount)</t>
  </si>
  <si>
    <t xml:space="preserve">What a minority investor actually pays vs headline</t>
  </si>
  <si>
    <t xml:space="preserve">Headline conclusions</t>
  </si>
  <si>
    <t xml:space="preserve">Fair enterprise value range — my view ($mm)</t>
  </si>
  <si>
    <t xml:space="preserve">Recommendation for a 10% PE stake at $8.1bn headline</t>
  </si>
  <si>
    <t xml:space="preserve">PASS at $8.1bn headline / 20% LP discount (12.5% base IRR &lt; 15% hurdle). BUY at a 30%+ LP discount (effective entry ≤ $5.6bn), or if the 2029 media opt-out is expected to lift national revenue 15%+.</t>
  </si>
  <si>
    <t xml:space="preserve">Base-case PE IRR (from PE Stake tab)</t>
  </si>
  <si>
    <t xml:space="preserve">Market value ÷ cash-flow (DCF Gordon) value</t>
  </si>
  <si>
    <t xml:space="preserve">Value CAGR since 2017 (Forbes)</t>
  </si>
  <si>
    <t xml:space="preserve">Carolina Panthers Valuation — Key Inputs &amp; Assumptions</t>
  </si>
  <si>
    <t xml:space="preserve">Blue = hardcoded input (edit these). Yellow = the assumptions that move the answer most. Every number has a source or a stated reason.</t>
  </si>
  <si>
    <t xml:space="preserve">Assumption</t>
  </si>
  <si>
    <t xml:space="preserve">Value</t>
  </si>
  <si>
    <t xml:space="preserve">Source / rationale</t>
  </si>
  <si>
    <t xml:space="preserve">MARKET DATA (2025 season, Forbes Sept 2026)</t>
  </si>
  <si>
    <t xml:space="preserve">Panthers enterprise value — Forbes</t>
  </si>
  <si>
    <t xml:space="preserve">Forbes NFL Team Valuations, Sept 9 2026 (#26 of 32). forbes.com/teams/carolina-panthers</t>
  </si>
  <si>
    <t xml:space="preserve">Panthers enterprise value — Sportico</t>
  </si>
  <si>
    <t xml:space="preserve">Sportico 2026 NFL valuations, via Charlotte Business Journal / Yahoo Sports</t>
  </si>
  <si>
    <t xml:space="preserve">Revenue, 2025 season ($mm)</t>
  </si>
  <si>
    <t xml:space="preserve">Forbes; net of stadium debt service, excludes playoffs</t>
  </si>
  <si>
    <t xml:space="preserve">Operating income / EBITDA, 2025 season ($mm)</t>
  </si>
  <si>
    <t xml:space="preserve">Forbes</t>
  </si>
  <si>
    <t xml:space="preserve">Player expenses ($mm)</t>
  </si>
  <si>
    <t xml:space="preserve">Forbes; includes benefits and bonuses</t>
  </si>
  <si>
    <t xml:space="preserve">Debt as % of value</t>
  </si>
  <si>
    <t xml:space="preserve">Forbes (includes stadium debt)</t>
  </si>
  <si>
    <t xml:space="preserve">Tepper purchase price, 2018 ($mm)</t>
  </si>
  <si>
    <t xml:space="preserve">Forbes; CBJ cites $3.0bn inflation-adjusted</t>
  </si>
  <si>
    <t xml:space="preserve">League average team value ($mm)</t>
  </si>
  <si>
    <t xml:space="preserve">Forbes 2026 average, +34% y/y</t>
  </si>
  <si>
    <t xml:space="preserve">League average EV / trailing revenue</t>
  </si>
  <si>
    <t xml:space="preserve">Forbes 2026</t>
  </si>
  <si>
    <t xml:space="preserve">REVENUE SPLIT (assumption)</t>
  </si>
  <si>
    <t xml:space="preserve">National (shared) revenue per team, 2025 ($mm)</t>
  </si>
  <si>
    <t xml:space="preserve">Sportico: national revenue 'more than $450mm' per team in 2025 (gross). ASSUMPTION — refine with Packers annual report</t>
  </si>
  <si>
    <t xml:space="preserve">Local revenue, 2025 ($mm)</t>
  </si>
  <si>
    <t xml:space="preserve">Derived: total revenue less national</t>
  </si>
  <si>
    <t xml:space="preserve">Other operating expenses, 2025 ($mm)</t>
  </si>
  <si>
    <t xml:space="preserve">Derived: revenue − player costs − EBITDA</t>
  </si>
  <si>
    <t xml:space="preserve">GROWTH ASSUMPTIONS</t>
  </si>
  <si>
    <t xml:space="preserve">National revenue growth, 2026–2029</t>
  </si>
  <si>
    <t xml:space="preserve">Current media deal ($125bn / 11 yrs to 2033) steps up ~5–7%/yr; Sportico projects &gt;$800mm per team by 2035</t>
  </si>
  <si>
    <t xml:space="preserve">Media renegotiation uplift in 2030 (one-time)</t>
  </si>
  <si>
    <t xml:space="preserve">NFL can opt out of media deals after 2029 season; ASSUMPTION of a 10% step-up. Set to 0% for a conservative case</t>
  </si>
  <si>
    <t xml:space="preserve">National revenue growth, 2030–2035</t>
  </si>
  <si>
    <t xml:space="preserve">Local revenue growth (base)</t>
  </si>
  <si>
    <t xml:space="preserve">Assumption: ~inflation + modest ticket/sponsorship pricing</t>
  </si>
  <si>
    <t xml:space="preserve">Stadium renovation uplift to local revenue (one-time)</t>
  </si>
  <si>
    <t xml:space="preserve">ASSUMPTION. $800mm phase-1 renovation of Bank of America Stadium (city $650mm + TSE $150mm); premium seating / sponsorship typically lifts local revenue 15–30% post-renovation</t>
  </si>
  <si>
    <t xml:space="preserve">Year renovation uplift hits</t>
  </si>
  <si>
    <t xml:space="preserve">Phase 1 funded over 4 years from 2024 approval; assumption</t>
  </si>
  <si>
    <t xml:space="preserve">Player cost growth (tracks salary cap)</t>
  </si>
  <si>
    <t xml:space="preserve">Cap is set as a share of league revenue, so player costs grow with national revenue</t>
  </si>
  <si>
    <t xml:space="preserve">Other opex growth</t>
  </si>
  <si>
    <t xml:space="preserve">CASH FLOW &amp; DISCOUNTING</t>
  </si>
  <si>
    <t xml:space="preserve">Tax rate on operating income</t>
  </si>
  <si>
    <t xml:space="preserve">ASSUMPTION. Team is a pass-through; owner-level taxes approximated at 25%</t>
  </si>
  <si>
    <t xml:space="preserve">Maintenance capex per year ($mm)</t>
  </si>
  <si>
    <t xml:space="preserve">TSE stadium contribution 2026–2029 ($mm/yr)</t>
  </si>
  <si>
    <t xml:space="preserve">$150mm over four years (WFAE, June 2024)</t>
  </si>
  <si>
    <t xml:space="preserve">TSE stadium contribution 2030–2035 ($mm/yr)</t>
  </si>
  <si>
    <t xml:space="preserve">~$420mm committed 2029–2039 (WFAE) ≈ $38mm/yr</t>
  </si>
  <si>
    <t xml:space="preserve">Discount rate (cost of equity)</t>
  </si>
  <si>
    <t xml:space="preserve">ASSUMPTION. Low-beta scarcity asset; NFL teams have never traded at a loss. Range 7–10%</t>
  </si>
  <si>
    <t xml:space="preserve">Terminal exit multiple (EV / revenue)</t>
  </si>
  <si>
    <t xml:space="preserve">Below the 13.4x league average to be conservative; Broncos traded at 8.8x in 2022</t>
  </si>
  <si>
    <t xml:space="preserve">Terminal growth rate (Gordon)</t>
  </si>
  <si>
    <t xml:space="preserve">Assumption; long-run league revenue growth</t>
  </si>
  <si>
    <t xml:space="preserve">PRIVATE EQUITY STAKE CASE</t>
  </si>
  <si>
    <t xml:space="preserve">Stake purchased</t>
  </si>
  <si>
    <t xml:space="preserve">NFL maximum PE stake per team is 10% (min 3%); 6-year minimum hold</t>
  </si>
  <si>
    <t xml:space="preserve">Minority / LP discount to headline value</t>
  </si>
  <si>
    <t xml:space="preserve">ASSUMPTION. Reported LP discounts of 15–30%; Sportico notes PE bids below headline (49ers bid ~$7.1bn vs $8.6bn value)</t>
  </si>
  <si>
    <t xml:space="preserve">Hold period (years)</t>
  </si>
  <si>
    <t xml:space="preserve">NFL rule: minimum six-year hold</t>
  </si>
  <si>
    <t xml:space="preserve">Annual appreciation of team value — Base</t>
  </si>
  <si>
    <t xml:space="preserve">Panthers: +17% annualized 2017–2026; league avg +34% last year. Base case assumes slowdown</t>
  </si>
  <si>
    <t xml:space="preserve">Annual appreciation — Bear</t>
  </si>
  <si>
    <t xml:space="preserve">Annual appreciation — Bull</t>
  </si>
  <si>
    <t xml:space="preserve">Discount narrows at exit to</t>
  </si>
  <si>
    <t xml:space="preserve">ASSUMPTION: a seasoned LP stake with a path to control trades at a smaller discount</t>
  </si>
  <si>
    <t xml:space="preserve">Target PE IRR</t>
  </si>
  <si>
    <t xml:space="preserve">Typical sports-PE hurdle (assumption)</t>
  </si>
  <si>
    <t xml:space="preserve">Panthers Financial History (Forbes, 2017–2025 seasons)</t>
  </si>
  <si>
    <t xml:space="preserve">Source: forbes.com/teams/carolina-panthers. Forbes labels each season by publication year; here 'Season' = the year the games were played. All $mm.</t>
  </si>
  <si>
    <t xml:space="preserve">Season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</si>
  <si>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</si>
  <si>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</si>
  <si>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</si>
  <si>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</si>
  <si>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</si>
  <si>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</si>
  <si>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</si>
  <si>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</si>
  <si>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</si>
  <si>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Team value (Forbes, Sept following season)</t>
  </si>
  <si>
    <t xml:space="preserve">Revenue</t>
  </si>
  <si>
    <t xml:space="preserve">Operating income (EBITDA)</t>
  </si>
  <si>
    <t xml:space="preserve">Player expenses</t>
  </si>
  <si>
    <t xml:space="preserve">Derived metrics</t>
  </si>
  <si>
    <t xml:space="preserve">Revenue growth y/y</t>
  </si>
  <si>
    <t xml:space="preserve">EBITDA margin</t>
  </si>
  <si>
    <t xml:space="preserve">Player costs % of revenue</t>
  </si>
  <si>
    <t xml:space="preserve">EV / revenue</t>
  </si>
  <si>
    <t xml:space="preserve">EV / EBITDA</t>
  </si>
  <si>
    <t xml:space="preserve">Value growth y/y</t>
  </si>
  <si>
    <t xml:space="preserve">Value CAGR 2017–2025</t>
  </si>
  <si>
    <t xml:space="preserve">Revenue CAGR 2017–2025</t>
  </si>
  <si>
    <t xml:space="preserve">Value multiple since Tepper's 2018 purchase ($2.28bn)</t>
  </si>
  <si>
    <t xml:space="preserve">Takeaway: value has compounded ~17%/yr while revenue grew ~6%/yr — the multiple expanded from ~5.8x to ~12.5x revenue. Most of the return came from scarcity and league-wide repricing, not Panthers cash flow.</t>
  </si>
  <si>
    <t xml:space="preserve">Precedent Transactions — NFL Control and Minority Stake Sales (2022–2026)</t>
  </si>
  <si>
    <t xml:space="preserve">Implied enterprise values as reported. Minority deals often include limited-partner discounts and non-team assets; read the notes.</t>
  </si>
  <si>
    <t xml:space="preserve">Team</t>
  </si>
  <si>
    <t xml:space="preserve">Date</t>
  </si>
  <si>
    <t xml:space="preserve">Buyer</t>
  </si>
  <si>
    <t xml:space="preserve">Stake</t>
  </si>
  <si>
    <t xml:space="preserve">Implied value ($mm)</t>
  </si>
  <si>
    <t xml:space="preserve">Trailing revenue ($mm)</t>
  </si>
  <si>
    <t xml:space="preserve">Type</t>
  </si>
  <si>
    <t xml:space="preserve">Notes / source</t>
  </si>
  <si>
    <t xml:space="preserve">Seattle Seahawks</t>
  </si>
  <si>
    <t xml:space="preserve">2026</t>
  </si>
  <si>
    <t xml:space="preserve">Khosla family group</t>
  </si>
  <si>
    <t xml:space="preserve">Control</t>
  </si>
  <si>
    <t xml:space="preserve">Record control purchase (Forbes: 14.6x). Trailing = 2025-season revenue, Forbes Seahawks page</t>
  </si>
  <si>
    <t xml:space="preserve">Denver Broncos</t>
  </si>
  <si>
    <t xml:space="preserve">Walton-Penner</t>
  </si>
  <si>
    <t xml:space="preserve">Pre-PE era benchmark. Trailing = 2021-season revenue, Forbes Broncos page (Forbes cites 8.8x)</t>
  </si>
  <si>
    <t xml:space="preserve">Washington Commanders</t>
  </si>
  <si>
    <t xml:space="preserve">Josh Harris group</t>
  </si>
  <si>
    <t xml:space="preserve">Trailing = 2022-season revenue, Forbes Commanders page</t>
  </si>
  <si>
    <t xml:space="preserve">New York Giants</t>
  </si>
  <si>
    <t xml:space="preserve">Oct 2025</t>
  </si>
  <si>
    <t xml:space="preserve">Julia Koch</t>
  </si>
  <si>
    <t xml:space="preserve">Minority</t>
  </si>
  <si>
    <t xml:space="preserve">CNBC: NFL approved minority stake at $10.3bn. Trailing = 2024-season revenue, Forbes Giants page</t>
  </si>
  <si>
    <t xml:space="preserve">Atlanta Falcons</t>
  </si>
  <si>
    <t xml:space="preserve">Aug 2025</t>
  </si>
  <si>
    <t xml:space="preserve">Arctos (PE)</t>
  </si>
  <si>
    <t xml:space="preserve">PE minority</t>
  </si>
  <si>
    <t xml:space="preserve">CNBC/Forbes: blended $10.6bn. Trailing = 2024-season revenue (Forbes Falcons page). Outlier: 2025 revenue jumped to $805mm, so buyers priced forward revenue</t>
  </si>
  <si>
    <t xml:space="preserve">Cleveland Browns</t>
  </si>
  <si>
    <t xml:space="preserve">May 2025</t>
  </si>
  <si>
    <t xml:space="preserve">Sportico via Forbes: ~3% at $9bn. Trailing = 2024-season revenue, Forbes Browns page</t>
  </si>
  <si>
    <t xml:space="preserve">Las Vegas Raiders</t>
  </si>
  <si>
    <t xml:space="preserve">Spring 2025</t>
  </si>
  <si>
    <t xml:space="preserve">Egon Durban group</t>
  </si>
  <si>
    <t xml:space="preserve">Forbes: 25% at $9.9bn (separate 3.5% piece at $11bn). Trailing = 2024-season revenue, Forbes Raiders page</t>
  </si>
  <si>
    <t xml:space="preserve">Miami Dolphins</t>
  </si>
  <si>
    <t xml:space="preserve">Mar 2025</t>
  </si>
  <si>
    <t xml:space="preserve">Ares (PE)</t>
  </si>
  <si>
    <t xml:space="preserve">Sportico: Ares 10% at $8.1bn. Trailing = 2024-season revenue, Forbes Dolphins page. Later $12.5bn holdco deal includes stadium + F1 race, excluded</t>
  </si>
  <si>
    <t xml:space="preserve">Buffalo Bills</t>
  </si>
  <si>
    <t xml:space="preserve">Sportico: Arctos entered at $5.8bn. Trailing = 2023-season revenue, Forbes Bills page</t>
  </si>
  <si>
    <t xml:space="preserve">Summary statistics (EV / revenue)</t>
  </si>
  <si>
    <t xml:space="preserve">Control deals — mean</t>
  </si>
  <si>
    <t xml:space="preserve">Minority &amp; PE deals — mean</t>
  </si>
  <si>
    <t xml:space="preserve">All deals — median</t>
  </si>
  <si>
    <t xml:space="preserve">All deals — low</t>
  </si>
  <si>
    <t xml:space="preserve">All deals — high</t>
  </si>
  <si>
    <t xml:space="preserve">Forbes league average (2026)</t>
  </si>
  <si>
    <t xml:space="preserve">Implied Panthers enterprise value ($mm) = multiple × 2025 revenue</t>
  </si>
  <si>
    <t xml:space="preserve">Case</t>
  </si>
  <si>
    <t xml:space="preserve">Multiple</t>
  </si>
  <si>
    <t xml:space="preserve">Implied EV</t>
  </si>
  <si>
    <t xml:space="preserve">Less debt</t>
  </si>
  <si>
    <t xml:space="preserve">Equity value</t>
  </si>
  <si>
    <t xml:space="preserve">vs Forbes $8.1bn</t>
  </si>
  <si>
    <t xml:space="preserve">Low (deal minimum)</t>
  </si>
  <si>
    <t xml:space="preserve">Median</t>
  </si>
  <si>
    <t xml:space="preserve">Minority/PE mean</t>
  </si>
  <si>
    <t xml:space="preserve">Control mean</t>
  </si>
  <si>
    <t xml:space="preserve">High (deal maximum)</t>
  </si>
  <si>
    <t xml:space="preserve">League average</t>
  </si>
  <si>
    <t xml:space="preserve">Why the Panthers should trade below the league average: mid-sized market (2.9mm metro), seven straight non-playoff seasons 2018–2024 before a 2025 wild-card return, below-average operating income ($88mm vs league leaders $300mm+), and a stadium that is 30 years old until the renovation lands. Why not far below: every NFL team is a 1-of-32 scarcity asset with guaranteed national revenue, and new-stadium economics arrive in 2028.</t>
  </si>
  <si>
    <t xml:space="preserve">Discounted Cash Flow — Owner Cash Flows, 2026–2035 ($mm)</t>
  </si>
  <si>
    <t xml:space="preserve">What the team is worth on cash flow alone. The gap to market value is the scarcity premium — the core of the pitch.</t>
  </si>
  <si>
    <t xml:space="preserve">2025A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</si>
  <si>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</si>
  <si>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</si>
  <si>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</si>
  <si>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</si>
  <si>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</si>
  <si>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</si>
  <si>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</si>
  <si>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</si>
  <si>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</si>
  <si>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National revenue</t>
  </si>
  <si>
    <t xml:space="preserve">Local revenue</t>
  </si>
  <si>
    <t xml:space="preserve">Total revenue</t>
  </si>
  <si>
    <t xml:space="preserve">  growth</t>
  </si>
  <si>
    <t xml:space="preserve">Other operating expenses</t>
  </si>
  <si>
    <t xml:space="preserve">EBITDA</t>
  </si>
  <si>
    <t xml:space="preserve">  margin</t>
  </si>
  <si>
    <t xml:space="preserve">Taxes</t>
  </si>
  <si>
    <t xml:space="preserve">Maintenance capex</t>
  </si>
  <si>
    <t xml:space="preserve">Stadium contributions (TSE)</t>
  </si>
  <si>
    <t xml:space="preserve">Unlevered free cash flow</t>
  </si>
  <si>
    <t xml:space="preserve">Discount period (years)</t>
  </si>
  <si>
    <t xml:space="preserve">Discount factor</t>
  </si>
  <si>
    <t xml:space="preserve">PV of FCF</t>
  </si>
  <si>
    <t xml:space="preserve">Valuation</t>
  </si>
  <si>
    <t xml:space="preserve">Sum of PV of FCF, 2026–2035</t>
  </si>
  <si>
    <t xml:space="preserve">Method 1: Exit multiple (EV / 2035 revenue)</t>
  </si>
  <si>
    <t xml:space="preserve">  Terminal value</t>
  </si>
  <si>
    <t xml:space="preserve">  PV of terminal value</t>
  </si>
  <si>
    <t xml:space="preserve">  Enterprise value</t>
  </si>
  <si>
    <t xml:space="preserve">  Implied EV / 2025 revenue</t>
  </si>
  <si>
    <t xml:space="preserve">Method 2: Perpetuity growth (Gordon)</t>
  </si>
  <si>
    <t xml:space="preserve">Market value (Forbes)</t>
  </si>
  <si>
    <t xml:space="preserve">Scarcity premium: market value ÷ cash-flow value (Gordon)</t>
  </si>
  <si>
    <t xml:space="preserve">Share of market value explained by cash flows</t>
  </si>
  <si>
    <t xml:space="preserve">Sensitivity — Enterprise value ($mm), exit-multiple method</t>
  </si>
  <si>
    <t xml:space="preserve">Discount rate ↓  /  Exit multiple →</t>
  </si>
  <si>
    <t xml:space="preserve">Sensitivity — Enterprise value ($mm), Gordon method (discount rate × terminal growth)</t>
  </si>
  <si>
    <t xml:space="preserve">Reading this sheet: on pure cash flow the Panthers are worth a fraction of $8.1bn. Buyers pay for scarcity (32 teams, none for sale most years), guaranteed national media money, and the expectation that the next buyer pays more. The pitch must take a view on whether that premium holds.</t>
  </si>
  <si>
    <t xml:space="preserve">Would a Private-Equity Firm Earn Its Return Buying 10% of the Panthers?</t>
  </si>
  <si>
    <t xml:space="preserve">NFL rules: PE firms may own 3–10% of a team, must hold ≥6 years, and cannot take control. Returns come almost entirely from appreciation, not distributions.</t>
  </si>
  <si>
    <t xml:space="preserve">Bear</t>
  </si>
  <si>
    <t xml:space="preserve">Base</t>
  </si>
  <si>
    <t xml:space="preserve">Bull</t>
  </si>
  <si>
    <t xml:space="preserve">Notes</t>
  </si>
  <si>
    <t xml:space="preserve">Headline enterprise value today ($mm)</t>
  </si>
  <si>
    <t xml:space="preserve">Less: debt</t>
  </si>
  <si>
    <t xml:space="preserve">Equity value, 100%</t>
  </si>
  <si>
    <t xml:space="preserve">LP discount</t>
  </si>
  <si>
    <t xml:space="preserve">Entry price for the stake ($mm)</t>
  </si>
  <si>
    <t xml:space="preserve">Annual appreciation of team value</t>
  </si>
  <si>
    <t xml:space="preserve">Equity value at exit, 100% ($mm)</t>
  </si>
  <si>
    <t xml:space="preserve">Discount at exit</t>
  </si>
  <si>
    <t xml:space="preserve">Exit proceeds for the stake ($mm)</t>
  </si>
  <si>
    <t xml:space="preserve">Cumulative distributions during hold ($mm)</t>
  </si>
  <si>
    <t xml:space="preserve">Multiple of invested capital (MOIC)</t>
  </si>
  <si>
    <t xml:space="preserve">IRR (approx., exit-weighted)</t>
  </si>
  <si>
    <t xml:space="preserve">Target IRR</t>
  </si>
  <si>
    <t xml:space="preserve">Clears the hurdle?</t>
  </si>
  <si>
    <t xml:space="preserve">Break-even appreciation rate to hit target IRR</t>
  </si>
  <si>
    <t xml:space="preserve">Verdict framework: the deal works only if NFL values keep compounding near 10%+ a year. The 20%→10% discount unwind adds roughly 2 points of IRR; cash yield adds under 1 point. So this is an appreciation bet on league media rights (2029 opt-out, 2033 renewal) and continued scarcity — not an operating investment.</t>
  </si>
  <si>
    <t xml:space="preserve">Sources</t>
  </si>
  <si>
    <t xml:space="preserve">Forbes — Carolina Panthers team page (value, revenue, operating income history)</t>
  </si>
  <si>
    <t xml:space="preserve">https://www.forbes.com/teams/carolina-panthers/</t>
  </si>
  <si>
    <t xml:space="preserve">Forbes — The NFL's Most Valuable Teams 2026 (Sept 9, 2026)</t>
  </si>
  <si>
    <t xml:space="preserve">https://www.forbes.com/sites/justinteitelbaum/2026/09/09/the-nfls-most-valuable-teams-2026/</t>
  </si>
  <si>
    <t xml:space="preserve">Sportico — NFL 2025 national revenue per team</t>
  </si>
  <si>
    <t xml:space="preserve">https://www.sportico.com/leagues/football/2026/nfl-2025-national-revenue-per-team-1234939659/</t>
  </si>
  <si>
    <t xml:space="preserve">Sportico — One year in, private equity boosts NFL values (PE rules, Bills/Dolphins/Chargers deals)</t>
  </si>
  <si>
    <t xml:space="preserve">https://www.sportico.com/business/finance/2025/nfl-private-equity-growth-sales-future-1234868441/</t>
  </si>
  <si>
    <t xml:space="preserve">CNBC — NFL approves Giants minority stake to Julia Koch at $10.3B</t>
  </si>
  <si>
    <t xml:space="preserve">https://www.cnbc.com/2025/10/22/nfl-sale-minority-stake-giants-koch.html</t>
  </si>
  <si>
    <t xml:space="preserve">CNBC — Official NFL Team Valuations 2025</t>
  </si>
  <si>
    <t xml:space="preserve">https://www.cnbc.com/2025/09/04/cnbcs-official-nfl-team-valuations-2025.html</t>
  </si>
  <si>
    <t xml:space="preserve">WFAE — Charlotte City Council approves $650M for Bank of America Stadium renovations (June 24, 2024)</t>
  </si>
  <si>
    <t xml:space="preserve">https://www.wfae.org/politics/2024-06-24/in-7-3-vote-charlotte-city-council-approves-650m-for-bank-of-america-stadium-renovations</t>
  </si>
  <si>
    <t xml:space="preserve">Yahoo Sports / Charlotte Business Journal — Panthers more than double in value since 2018</t>
  </si>
  <si>
    <t xml:space="preserve">https://sports.yahoo.com/articles/carolina-panthers-more-double-value-120232146.html</t>
  </si>
  <si>
    <t xml:space="preserve">Green Bay Packers annual financial report (public; use for exact national revenue)</t>
  </si>
  <si>
    <t xml:space="preserve">https://www.packers.com/community/shareholders</t>
  </si>
  <si>
    <t xml:space="preserve">SEC / company filings are not available — NFL teams are private. All team-level P&amp;L figures are Forbes estimates.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</si>
</sst>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.0\x"/>
    <numFmt numFmtId="168" formatCode="0"/>
    <numFmt numFmtId="169" formatCode="\$#,##0.0;&quot;($&quot;#,##0.0\);\-"/>
    <numFmt numFmtId="170" formatCode="0.0"/>
    <numFmt numFmtId="171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range by method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Published valuations (Sportico / Forbes)</c:v>
                </c:pt>
                <c:pt idx="1">
                  <c:v>Precedent transactions (deal min – median)</c:v>
                </c:pt>
                <c:pt idx="2">
                  <c:v>Precedent transactions (median – max)</c:v>
                </c:pt>
                <c:pt idx="3">
                  <c:v>DCF — exit multiple (7–10% discount, 10–14x)</c:v>
                </c:pt>
                <c:pt idx="4">
                  <c:v>DCF — perpetuity growth</c:v>
                </c:pt>
                <c:pt idx="5">
                  <c:v>PE entry (after 20% LP discount)</c:v>
                </c:pt>
              </c:strCache>
            </c:strRef>
          </c:cat>
          <c:val>
            <c:numRef>
              <c:f>Summary!$B$5:$B$10</c:f>
              <c:numCache>
                <c:formatCode>\$#,##0;"($"#,##0\);\-</c:formatCode>
                <c:ptCount val="6"/>
                <c:pt idx="0">
                  <c:v>8070</c:v>
                </c:pt>
                <c:pt idx="1">
                  <c:v>5710.83650190114</c:v>
                </c:pt>
                <c:pt idx="2">
                  <c:v>8209.75609756098</c:v>
                </c:pt>
                <c:pt idx="3">
                  <c:v>4953.82178850134</c:v>
                </c:pt>
                <c:pt idx="4">
                  <c:v>1256.00660325456</c:v>
                </c:pt>
                <c:pt idx="5">
                  <c:v>6350.4</c:v>
                </c:pt>
              </c:numCache>
            </c:numRef>
          </c:val>
        </c:ser>
        <c:ser>
          <c:idx val="1"/>
          <c:order val="1"/>
          <c:tx>
            <c:strRef>
              <c:f>Summary!E4</c:f>
              <c:strCache>
                <c:ptCount val="1"/>
                <c:pt idx="0">
                  <c:v>Width (chart)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Published valuations (Sportico / Forbes)</c:v>
                </c:pt>
                <c:pt idx="1">
                  <c:v>Precedent transactions (deal min – median)</c:v>
                </c:pt>
                <c:pt idx="2">
                  <c:v>Precedent transactions (median – max)</c:v>
                </c:pt>
                <c:pt idx="3">
                  <c:v>DCF — exit multiple (7–10% discount, 10–14x)</c:v>
                </c:pt>
                <c:pt idx="4">
                  <c:v>DCF — perpetuity growth</c:v>
                </c:pt>
                <c:pt idx="5">
                  <c:v>PE entry (after 20% LP discount)</c:v>
                </c:pt>
              </c:strCache>
            </c:strRef>
          </c:cat>
          <c:val>
            <c:numRef>
              <c:f>Summary!$E$5:$E$10</c:f>
              <c:numCache>
                <c:formatCode>\$#,##0;"($"#,##0\);\-</c:formatCode>
                <c:ptCount val="6"/>
                <c:pt idx="0">
                  <c:v>30</c:v>
                </c:pt>
                <c:pt idx="1">
                  <c:v>2498.91959565984</c:v>
                </c:pt>
                <c:pt idx="2">
                  <c:v>2979.13279132791</c:v>
                </c:pt>
                <c:pt idx="3">
                  <c:v>3860.02238318174</c:v>
                </c:pt>
                <c:pt idx="4">
                  <c:v>2888.38108811326</c:v>
                </c:pt>
                <c:pt idx="5">
                  <c:v>1587.6</c:v>
                </c:pt>
              </c:numCache>
            </c:numRef>
          </c:val>
        </c:ser>
        <c:gapWidth val="150"/>
        <c:overlap val="100"/>
        <c:axId val="23100948"/>
        <c:axId val="53882846"/>
      </c:barChart>
      <c:catAx>
        <c:axId val="231009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82846"/>
        <c:crosses val="autoZero"/>
        <c:auto val="1"/>
        <c:lblAlgn val="ctr"/>
        <c:lblOffset val="100"/>
        <c:noMultiLvlLbl val="0"/>
      </c:catAx>
      <c:valAx>
        <c:axId val="53882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00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value vs revenue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Historicals!A5</c:f>
              <c:strCache>
                <c:ptCount val="1"/>
                <c:pt idx="0">
                  <c:v>Team value (Forbes, Sept following season)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Historicals!$B$4:$J$4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Historicals!$B$5:$J$5</c:f>
              <c:numCache>
                <c:formatCode>\$#,##0;"($"#,##0\);\-</c:formatCode>
                <c:ptCount val="9"/>
                <c:pt idx="0">
                  <c:v>2300</c:v>
                </c:pt>
                <c:pt idx="1">
                  <c:v>2400</c:v>
                </c:pt>
                <c:pt idx="2">
                  <c:v>2600</c:v>
                </c:pt>
                <c:pt idx="3">
                  <c:v>2900</c:v>
                </c:pt>
                <c:pt idx="4">
                  <c:v>3600</c:v>
                </c:pt>
                <c:pt idx="5">
                  <c:v>4100</c:v>
                </c:pt>
                <c:pt idx="6">
                  <c:v>4500</c:v>
                </c:pt>
                <c:pt idx="7">
                  <c:v>5700</c:v>
                </c:pt>
                <c:pt idx="8">
                  <c:v>8100</c:v>
                </c:pt>
              </c:numCache>
            </c:numRef>
          </c:val>
        </c:ser>
        <c:ser>
          <c:idx val="1"/>
          <c:order val="1"/>
          <c:tx>
            <c:strRef>
              <c:f>Historicals!A6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Historicals!$B$4:$J$4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Historicals!$B$6:$J$6</c:f>
              <c:numCache>
                <c:formatCode>\$#,##0;"($"#,##0\);\-</c:formatCode>
                <c:ptCount val="9"/>
                <c:pt idx="0">
                  <c:v>396</c:v>
                </c:pt>
                <c:pt idx="1">
                  <c:v>424</c:v>
                </c:pt>
                <c:pt idx="2">
                  <c:v>447</c:v>
                </c:pt>
                <c:pt idx="3">
                  <c:v>351</c:v>
                </c:pt>
                <c:pt idx="4">
                  <c:v>501</c:v>
                </c:pt>
                <c:pt idx="5">
                  <c:v>530</c:v>
                </c:pt>
                <c:pt idx="6">
                  <c:v>574</c:v>
                </c:pt>
                <c:pt idx="7">
                  <c:v>588</c:v>
                </c:pt>
                <c:pt idx="8">
                  <c:v>646</c:v>
                </c:pt>
              </c:numCache>
            </c:numRef>
          </c:val>
        </c:ser>
        <c:gapWidth val="150"/>
        <c:overlap val="0"/>
        <c:axId val="21584243"/>
        <c:axId val="66907556"/>
      </c:barChart>
      <c:catAx>
        <c:axId val="21584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07556"/>
        <c:crosses val="autoZero"/>
        <c:auto val="1"/>
        <c:lblAlgn val="ctr"/>
        <c:lblOffset val="100"/>
        <c:noMultiLvlLbl val="0"/>
      </c:catAx>
      <c:valAx>
        <c:axId val="669075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84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160920</xdr:rowOff>
    </xdr:from>
    <xdr:to>
      <xdr:col>5</xdr:col>
      <xdr:colOff>1153080</xdr:colOff>
      <xdr:row>34</xdr:row>
      <xdr:rowOff>182880</xdr:rowOff>
    </xdr:to>
    <xdr:graphicFrame>
      <xdr:nvGraphicFramePr>
        <xdr:cNvPr id="0" name="Chart 1"/>
        <xdr:cNvGraphicFramePr/>
      </xdr:nvGraphicFramePr>
      <xdr:xfrm>
        <a:off x="0" y="42292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5</xdr:col>
      <xdr:colOff>543600</xdr:colOff>
      <xdr:row>36</xdr:row>
      <xdr:rowOff>13320</xdr:rowOff>
    </xdr:to>
    <xdr:graphicFrame>
      <xdr:nvGraphicFramePr>
        <xdr:cNvPr id="1" name="Chart 1"/>
        <xdr:cNvGraphicFramePr/>
      </xdr:nvGraphicFramePr>
      <xdr:xfrm>
        <a:off x="0" y="4381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f aca="false">Inputs!$B$7</f>
        <v>8070</v>
      </c>
      <c r="C5" s="6" t="n">
        <f aca="false">Inputs!$B$6</f>
        <v>8100</v>
      </c>
      <c r="D5" s="7" t="n">
        <f aca="false">(B5+C5)/2</f>
        <v>8085</v>
      </c>
      <c r="E5" s="8" t="n">
        <f aca="false">C5-B5</f>
        <v>30</v>
      </c>
      <c r="F5" s="9" t="s">
        <v>9</v>
      </c>
    </row>
    <row r="6" customFormat="false" ht="15" hidden="false" customHeight="false" outlineLevel="0" collapsed="false">
      <c r="A6" s="5" t="s">
        <v>10</v>
      </c>
      <c r="B6" s="6" t="n">
        <f aca="false">Comps!$C$25</f>
        <v>5710.83650190114</v>
      </c>
      <c r="C6" s="6" t="n">
        <f aca="false">Comps!$C$26</f>
        <v>8209.75609756098</v>
      </c>
      <c r="D6" s="7" t="n">
        <f aca="false">(B6+C6)/2</f>
        <v>6960.29629973106</v>
      </c>
      <c r="E6" s="8" t="n">
        <f aca="false">C6-B6</f>
        <v>2498.91959565984</v>
      </c>
      <c r="F6" s="9" t="s">
        <v>11</v>
      </c>
    </row>
    <row r="7" customFormat="false" ht="15" hidden="false" customHeight="false" outlineLevel="0" collapsed="false">
      <c r="A7" s="5" t="s">
        <v>12</v>
      </c>
      <c r="B7" s="6" t="n">
        <f aca="false">Comps!$C$26</f>
        <v>8209.75609756098</v>
      </c>
      <c r="C7" s="6" t="n">
        <f aca="false">Comps!$C$29</f>
        <v>11188.8888888889</v>
      </c>
      <c r="D7" s="7" t="n">
        <f aca="false">(B7+C7)/2</f>
        <v>9699.32249322493</v>
      </c>
      <c r="E7" s="8" t="n">
        <f aca="false">C7-B7</f>
        <v>2979.13279132791</v>
      </c>
      <c r="F7" s="9" t="s">
        <v>13</v>
      </c>
    </row>
    <row r="8" customFormat="false" ht="15" hidden="false" customHeight="false" outlineLevel="0" collapsed="false">
      <c r="A8" s="5" t="s">
        <v>14</v>
      </c>
      <c r="B8" s="6" t="n">
        <f aca="false">MIN(DCF!B49:F52)</f>
        <v>4953.82178850134</v>
      </c>
      <c r="C8" s="6" t="n">
        <f aca="false">MAX(DCF!B49:F52)</f>
        <v>8813.84417168308</v>
      </c>
      <c r="D8" s="7" t="n">
        <f aca="false">(B8+C8)/2</f>
        <v>6883.83298009221</v>
      </c>
      <c r="E8" s="8" t="n">
        <f aca="false">C8-B8</f>
        <v>3860.02238318174</v>
      </c>
      <c r="F8" s="9" t="s">
        <v>15</v>
      </c>
    </row>
    <row r="9" customFormat="false" ht="15" hidden="false" customHeight="false" outlineLevel="0" collapsed="false">
      <c r="A9" s="5" t="s">
        <v>16</v>
      </c>
      <c r="B9" s="6" t="n">
        <f aca="false">MIN(DCF!B56:F59)</f>
        <v>1256.00660325456</v>
      </c>
      <c r="C9" s="6" t="n">
        <f aca="false">MAX(DCF!B56:F59)</f>
        <v>4144.38769136782</v>
      </c>
      <c r="D9" s="7" t="n">
        <f aca="false">(B9+C9)/2</f>
        <v>2700.19714731119</v>
      </c>
      <c r="E9" s="8" t="n">
        <f aca="false">C9-B9</f>
        <v>2888.38108811326</v>
      </c>
      <c r="F9" s="9" t="s">
        <v>17</v>
      </c>
    </row>
    <row r="10" customFormat="false" ht="15" hidden="false" customHeight="false" outlineLevel="0" collapsed="false">
      <c r="A10" s="5" t="s">
        <v>18</v>
      </c>
      <c r="B10" s="6" t="n">
        <f aca="false">'PE Stake'!C7*(1-'PE Stake'!C8)</f>
        <v>6350.4</v>
      </c>
      <c r="C10" s="6" t="n">
        <f aca="false">'PE Stake'!C7</f>
        <v>7938</v>
      </c>
      <c r="D10" s="7" t="n">
        <f aca="false">(B10+C10)/2</f>
        <v>7144.2</v>
      </c>
      <c r="E10" s="8" t="n">
        <f aca="false">C10-B10</f>
        <v>1587.6</v>
      </c>
      <c r="F10" s="9" t="s">
        <v>19</v>
      </c>
    </row>
    <row r="13" customFormat="false" ht="15" hidden="false" customHeight="false" outlineLevel="0" collapsed="false">
      <c r="A13" s="10" t="s">
        <v>20</v>
      </c>
    </row>
    <row r="14" customFormat="false" ht="15" hidden="false" customHeight="false" outlineLevel="0" collapsed="false">
      <c r="A14" s="11" t="s">
        <v>21</v>
      </c>
      <c r="B14" s="12" t="n">
        <v>7100</v>
      </c>
      <c r="C14" s="12" t="n">
        <v>8300</v>
      </c>
    </row>
    <row r="15" customFormat="false" ht="48" hidden="false" customHeight="true" outlineLevel="0" collapsed="false">
      <c r="A15" s="11" t="s">
        <v>22</v>
      </c>
      <c r="B15" s="13" t="s">
        <v>23</v>
      </c>
      <c r="C15" s="13"/>
      <c r="D15" s="13"/>
      <c r="E15" s="13"/>
      <c r="F15" s="13"/>
    </row>
    <row r="16" customFormat="false" ht="15" hidden="false" customHeight="false" outlineLevel="0" collapsed="false">
      <c r="A16" s="11" t="s">
        <v>24</v>
      </c>
      <c r="B16" s="14" t="n">
        <f aca="false">'PE Stake'!C20</f>
        <v>0.124835831764832</v>
      </c>
    </row>
    <row r="17" customFormat="false" ht="15" hidden="false" customHeight="false" outlineLevel="0" collapsed="false">
      <c r="A17" s="11" t="s">
        <v>25</v>
      </c>
      <c r="B17" s="15" t="n">
        <f aca="false">DCF!B43</f>
        <v>3.74446852673535</v>
      </c>
    </row>
    <row r="18" customFormat="false" ht="15" hidden="false" customHeight="false" outlineLevel="0" collapsed="false">
      <c r="A18" s="11" t="s">
        <v>26</v>
      </c>
      <c r="B18" s="14" t="n">
        <f aca="false">Historicals!B18</f>
        <v>0.170427851894423</v>
      </c>
    </row>
  </sheetData>
  <mergeCells count="1"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28</v>
      </c>
    </row>
    <row r="4" customFormat="false" ht="15" hidden="false" customHeight="false" outlineLevel="0" collapsed="false">
      <c r="A4" s="4" t="s">
        <v>29</v>
      </c>
      <c r="B4" s="4" t="s">
        <v>30</v>
      </c>
      <c r="C4" s="4" t="s">
        <v>31</v>
      </c>
    </row>
    <row r="5" customFormat="false" ht="15" hidden="false" customHeight="false" outlineLevel="0" collapsed="false">
      <c r="A5" s="16" t="s">
        <v>32</v>
      </c>
      <c r="B5" s="17"/>
      <c r="C5" s="17"/>
    </row>
    <row r="6" customFormat="false" ht="15" hidden="false" customHeight="false" outlineLevel="0" collapsed="false">
      <c r="A6" s="11" t="s">
        <v>33</v>
      </c>
      <c r="B6" s="18" t="n">
        <v>8100</v>
      </c>
      <c r="C6" s="19" t="s">
        <v>34</v>
      </c>
    </row>
    <row r="7" customFormat="false" ht="15" hidden="false" customHeight="false" outlineLevel="0" collapsed="false">
      <c r="A7" s="11" t="s">
        <v>35</v>
      </c>
      <c r="B7" s="18" t="n">
        <v>8070</v>
      </c>
      <c r="C7" s="19" t="s">
        <v>36</v>
      </c>
    </row>
    <row r="8" customFormat="false" ht="15" hidden="false" customHeight="false" outlineLevel="0" collapsed="false">
      <c r="A8" s="11" t="s">
        <v>37</v>
      </c>
      <c r="B8" s="18" t="n">
        <v>646</v>
      </c>
      <c r="C8" s="19" t="s">
        <v>38</v>
      </c>
    </row>
    <row r="9" customFormat="false" ht="15" hidden="false" customHeight="false" outlineLevel="0" collapsed="false">
      <c r="A9" s="11" t="s">
        <v>39</v>
      </c>
      <c r="B9" s="18" t="n">
        <v>88</v>
      </c>
      <c r="C9" s="19" t="s">
        <v>40</v>
      </c>
    </row>
    <row r="10" customFormat="false" ht="15" hidden="false" customHeight="false" outlineLevel="0" collapsed="false">
      <c r="A10" s="11" t="s">
        <v>41</v>
      </c>
      <c r="B10" s="18" t="n">
        <v>366</v>
      </c>
      <c r="C10" s="19" t="s">
        <v>42</v>
      </c>
    </row>
    <row r="11" customFormat="false" ht="15" hidden="false" customHeight="false" outlineLevel="0" collapsed="false">
      <c r="A11" s="11" t="s">
        <v>43</v>
      </c>
      <c r="B11" s="20" t="n">
        <v>0.02</v>
      </c>
      <c r="C11" s="19" t="s">
        <v>44</v>
      </c>
    </row>
    <row r="12" customFormat="false" ht="15" hidden="false" customHeight="false" outlineLevel="0" collapsed="false">
      <c r="A12" s="11" t="s">
        <v>45</v>
      </c>
      <c r="B12" s="18" t="n">
        <v>2280</v>
      </c>
      <c r="C12" s="19" t="s">
        <v>46</v>
      </c>
    </row>
    <row r="13" customFormat="false" ht="15" hidden="false" customHeight="false" outlineLevel="0" collapsed="false">
      <c r="A13" s="11" t="s">
        <v>47</v>
      </c>
      <c r="B13" s="18" t="n">
        <v>9500</v>
      </c>
      <c r="C13" s="19" t="s">
        <v>48</v>
      </c>
    </row>
    <row r="14" customFormat="false" ht="15" hidden="false" customHeight="false" outlineLevel="0" collapsed="false">
      <c r="A14" s="11" t="s">
        <v>49</v>
      </c>
      <c r="B14" s="21" t="n">
        <v>13.4</v>
      </c>
      <c r="C14" s="19" t="s">
        <v>50</v>
      </c>
    </row>
    <row r="15" customFormat="false" ht="15" hidden="false" customHeight="false" outlineLevel="0" collapsed="false">
      <c r="A15" s="16" t="s">
        <v>51</v>
      </c>
      <c r="B15" s="17"/>
      <c r="C15" s="17"/>
    </row>
    <row r="16" customFormat="false" ht="22.35" hidden="false" customHeight="false" outlineLevel="0" collapsed="false">
      <c r="A16" s="11" t="s">
        <v>52</v>
      </c>
      <c r="B16" s="12" t="n">
        <v>455</v>
      </c>
      <c r="C16" s="19" t="s">
        <v>53</v>
      </c>
    </row>
    <row r="17" customFormat="false" ht="15" hidden="false" customHeight="false" outlineLevel="0" collapsed="false">
      <c r="A17" s="11" t="s">
        <v>54</v>
      </c>
      <c r="B17" s="8" t="n">
        <f aca="false">B8-B16</f>
        <v>191</v>
      </c>
      <c r="C17" s="19" t="s">
        <v>55</v>
      </c>
    </row>
    <row r="18" customFormat="false" ht="15" hidden="false" customHeight="false" outlineLevel="0" collapsed="false">
      <c r="A18" s="11" t="s">
        <v>56</v>
      </c>
      <c r="B18" s="8" t="n">
        <f aca="false">B8-B10-B9</f>
        <v>192</v>
      </c>
      <c r="C18" s="19" t="s">
        <v>57</v>
      </c>
    </row>
    <row r="19" customFormat="false" ht="15" hidden="false" customHeight="false" outlineLevel="0" collapsed="false">
      <c r="A19" s="16" t="s">
        <v>58</v>
      </c>
      <c r="B19" s="17"/>
      <c r="C19" s="17"/>
    </row>
    <row r="20" customFormat="false" ht="22.35" hidden="false" customHeight="false" outlineLevel="0" collapsed="false">
      <c r="A20" s="11" t="s">
        <v>59</v>
      </c>
      <c r="B20" s="20" t="n">
        <v>0.06</v>
      </c>
      <c r="C20" s="19" t="s">
        <v>60</v>
      </c>
    </row>
    <row r="21" customFormat="false" ht="22.35" hidden="false" customHeight="false" outlineLevel="0" collapsed="false">
      <c r="A21" s="11" t="s">
        <v>61</v>
      </c>
      <c r="B21" s="22" t="n">
        <v>0.1</v>
      </c>
      <c r="C21" s="19" t="s">
        <v>62</v>
      </c>
    </row>
    <row r="22" customFormat="false" ht="15" hidden="false" customHeight="false" outlineLevel="0" collapsed="false">
      <c r="A22" s="11" t="s">
        <v>63</v>
      </c>
      <c r="B22" s="20" t="n">
        <v>0.05</v>
      </c>
      <c r="C22" s="19" t="s">
        <v>29</v>
      </c>
    </row>
    <row r="23" customFormat="false" ht="15" hidden="false" customHeight="false" outlineLevel="0" collapsed="false">
      <c r="A23" s="11" t="s">
        <v>64</v>
      </c>
      <c r="B23" s="20" t="n">
        <v>0.03</v>
      </c>
      <c r="C23" s="19" t="s">
        <v>65</v>
      </c>
    </row>
    <row r="24" customFormat="false" ht="32.8" hidden="false" customHeight="false" outlineLevel="0" collapsed="false">
      <c r="A24" s="11" t="s">
        <v>66</v>
      </c>
      <c r="B24" s="22" t="n">
        <v>0.2</v>
      </c>
      <c r="C24" s="19" t="s">
        <v>67</v>
      </c>
    </row>
    <row r="25" customFormat="false" ht="15" hidden="false" customHeight="false" outlineLevel="0" collapsed="false">
      <c r="A25" s="11" t="s">
        <v>68</v>
      </c>
      <c r="B25" s="23" t="n">
        <v>2028</v>
      </c>
      <c r="C25" s="19" t="s">
        <v>69</v>
      </c>
    </row>
    <row r="26" customFormat="false" ht="15" hidden="false" customHeight="false" outlineLevel="0" collapsed="false">
      <c r="A26" s="11" t="s">
        <v>70</v>
      </c>
      <c r="B26" s="24" t="n">
        <f aca="false">B20</f>
        <v>0.06</v>
      </c>
      <c r="C26" s="19" t="s">
        <v>71</v>
      </c>
    </row>
    <row r="27" customFormat="false" ht="15" hidden="false" customHeight="false" outlineLevel="0" collapsed="false">
      <c r="A27" s="11" t="s">
        <v>72</v>
      </c>
      <c r="B27" s="20" t="n">
        <v>0.03</v>
      </c>
      <c r="C27" s="19" t="s">
        <v>29</v>
      </c>
    </row>
    <row r="28" customFormat="false" ht="15" hidden="false" customHeight="false" outlineLevel="0" collapsed="false">
      <c r="A28" s="16" t="s">
        <v>73</v>
      </c>
      <c r="B28" s="17"/>
      <c r="C28" s="17"/>
    </row>
    <row r="29" customFormat="false" ht="15" hidden="false" customHeight="false" outlineLevel="0" collapsed="false">
      <c r="A29" s="11" t="s">
        <v>74</v>
      </c>
      <c r="B29" s="22" t="n">
        <v>0.25</v>
      </c>
      <c r="C29" s="19" t="s">
        <v>75</v>
      </c>
    </row>
    <row r="30" customFormat="false" ht="15" hidden="false" customHeight="false" outlineLevel="0" collapsed="false">
      <c r="A30" s="11" t="s">
        <v>76</v>
      </c>
      <c r="B30" s="18" t="n">
        <v>10</v>
      </c>
      <c r="C30" s="19" t="s">
        <v>29</v>
      </c>
    </row>
    <row r="31" customFormat="false" ht="15" hidden="false" customHeight="false" outlineLevel="0" collapsed="false">
      <c r="A31" s="11" t="s">
        <v>77</v>
      </c>
      <c r="B31" s="25" t="n">
        <v>37.5</v>
      </c>
      <c r="C31" s="19" t="s">
        <v>78</v>
      </c>
    </row>
    <row r="32" customFormat="false" ht="15" hidden="false" customHeight="false" outlineLevel="0" collapsed="false">
      <c r="A32" s="11" t="s">
        <v>79</v>
      </c>
      <c r="B32" s="18" t="n">
        <v>38</v>
      </c>
      <c r="C32" s="19" t="s">
        <v>80</v>
      </c>
    </row>
    <row r="33" customFormat="false" ht="22.35" hidden="false" customHeight="false" outlineLevel="0" collapsed="false">
      <c r="A33" s="11" t="s">
        <v>81</v>
      </c>
      <c r="B33" s="22" t="n">
        <v>0.08</v>
      </c>
      <c r="C33" s="19" t="s">
        <v>82</v>
      </c>
    </row>
    <row r="34" customFormat="false" ht="15" hidden="false" customHeight="false" outlineLevel="0" collapsed="false">
      <c r="A34" s="11" t="s">
        <v>83</v>
      </c>
      <c r="B34" s="21" t="n">
        <v>12</v>
      </c>
      <c r="C34" s="19" t="s">
        <v>84</v>
      </c>
    </row>
    <row r="35" customFormat="false" ht="15" hidden="false" customHeight="false" outlineLevel="0" collapsed="false">
      <c r="A35" s="11" t="s">
        <v>85</v>
      </c>
      <c r="B35" s="20" t="n">
        <v>0.04</v>
      </c>
      <c r="C35" s="19" t="s">
        <v>86</v>
      </c>
    </row>
    <row r="36" customFormat="false" ht="15" hidden="false" customHeight="false" outlineLevel="0" collapsed="false">
      <c r="A36" s="16" t="s">
        <v>87</v>
      </c>
      <c r="B36" s="17"/>
      <c r="C36" s="17"/>
    </row>
    <row r="37" customFormat="false" ht="15" hidden="false" customHeight="false" outlineLevel="0" collapsed="false">
      <c r="A37" s="11" t="s">
        <v>88</v>
      </c>
      <c r="B37" s="20" t="n">
        <v>0.1</v>
      </c>
      <c r="C37" s="19" t="s">
        <v>89</v>
      </c>
    </row>
    <row r="38" customFormat="false" ht="22.35" hidden="false" customHeight="false" outlineLevel="0" collapsed="false">
      <c r="A38" s="11" t="s">
        <v>90</v>
      </c>
      <c r="B38" s="22" t="n">
        <v>0.2</v>
      </c>
      <c r="C38" s="19" t="s">
        <v>91</v>
      </c>
    </row>
    <row r="39" customFormat="false" ht="15" hidden="false" customHeight="false" outlineLevel="0" collapsed="false">
      <c r="A39" s="11" t="s">
        <v>92</v>
      </c>
      <c r="B39" s="23" t="n">
        <v>6</v>
      </c>
      <c r="C39" s="19" t="s">
        <v>93</v>
      </c>
    </row>
    <row r="40" customFormat="false" ht="22.35" hidden="false" customHeight="false" outlineLevel="0" collapsed="false">
      <c r="A40" s="11" t="s">
        <v>94</v>
      </c>
      <c r="B40" s="20" t="n">
        <v>0.1</v>
      </c>
      <c r="C40" s="19" t="s">
        <v>95</v>
      </c>
    </row>
    <row r="41" customFormat="false" ht="15" hidden="false" customHeight="false" outlineLevel="0" collapsed="false">
      <c r="A41" s="11" t="s">
        <v>96</v>
      </c>
      <c r="B41" s="20" t="n">
        <v>0.05</v>
      </c>
      <c r="C41" s="19" t="s">
        <v>29</v>
      </c>
    </row>
    <row r="42" customFormat="false" ht="15" hidden="false" customHeight="false" outlineLevel="0" collapsed="false">
      <c r="A42" s="11" t="s">
        <v>97</v>
      </c>
      <c r="B42" s="20" t="n">
        <v>0.15</v>
      </c>
      <c r="C42" s="19" t="s">
        <v>29</v>
      </c>
    </row>
    <row r="43" customFormat="false" ht="15" hidden="false" customHeight="false" outlineLevel="0" collapsed="false">
      <c r="A43" s="11" t="s">
        <v>98</v>
      </c>
      <c r="B43" s="22" t="n">
        <v>0.1</v>
      </c>
      <c r="C43" s="19" t="s">
        <v>99</v>
      </c>
    </row>
    <row r="44" customFormat="false" ht="15" hidden="false" customHeight="false" outlineLevel="0" collapsed="false">
      <c r="A44" s="11" t="s">
        <v>100</v>
      </c>
      <c r="B44" s="20" t="n">
        <v>0.15</v>
      </c>
      <c r="C44" s="19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1"/>
  </cols>
  <sheetData>
    <row r="1" customFormat="false" ht="17.3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103</v>
      </c>
    </row>
    <row r="4" customFormat="false" ht="15" hidden="false" customHeight="false" outlineLevel="0" collapsed="false">
      <c r="A4" s="4" t="s">
        <v>104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111</v>
      </c>
      <c r="I4" s="4" t="s">
        <v>112</v>
      </c>
      <c r="J4" s="4" t="s">
        <v>113</v>
      </c>
    </row>
    <row r="5" customFormat="false" ht="15" hidden="false" customHeight="false" outlineLevel="0" collapsed="false">
      <c r="A5" s="11" t="s">
        <v>114</v>
      </c>
      <c r="B5" s="18" t="n">
        <v>2300</v>
      </c>
      <c r="C5" s="18" t="n">
        <v>2400</v>
      </c>
      <c r="D5" s="18" t="n">
        <v>2600</v>
      </c>
      <c r="E5" s="18" t="n">
        <v>2900</v>
      </c>
      <c r="F5" s="18" t="n">
        <v>3600</v>
      </c>
      <c r="G5" s="18" t="n">
        <v>4100</v>
      </c>
      <c r="H5" s="18" t="n">
        <v>4500</v>
      </c>
      <c r="I5" s="18" t="n">
        <v>5700</v>
      </c>
      <c r="J5" s="18" t="n">
        <v>8100</v>
      </c>
    </row>
    <row r="6" customFormat="false" ht="15" hidden="false" customHeight="false" outlineLevel="0" collapsed="false">
      <c r="A6" s="11" t="s">
        <v>115</v>
      </c>
      <c r="B6" s="18" t="n">
        <v>396</v>
      </c>
      <c r="C6" s="18" t="n">
        <v>424</v>
      </c>
      <c r="D6" s="18" t="n">
        <v>447</v>
      </c>
      <c r="E6" s="18" t="n">
        <v>351</v>
      </c>
      <c r="F6" s="18" t="n">
        <v>501</v>
      </c>
      <c r="G6" s="18" t="n">
        <v>530</v>
      </c>
      <c r="H6" s="18" t="n">
        <v>574</v>
      </c>
      <c r="I6" s="18" t="n">
        <v>588</v>
      </c>
      <c r="J6" s="18" t="n">
        <v>646</v>
      </c>
    </row>
    <row r="7" customFormat="false" ht="15" hidden="false" customHeight="false" outlineLevel="0" collapsed="false">
      <c r="A7" s="11" t="s">
        <v>116</v>
      </c>
      <c r="B7" s="18" t="n">
        <v>62</v>
      </c>
      <c r="C7" s="18" t="n">
        <v>78</v>
      </c>
      <c r="D7" s="18" t="n">
        <v>96</v>
      </c>
      <c r="E7" s="18" t="n">
        <v>-22</v>
      </c>
      <c r="F7" s="18" t="n">
        <v>139</v>
      </c>
      <c r="G7" s="18" t="n">
        <v>72</v>
      </c>
      <c r="H7" s="18" t="n">
        <v>109</v>
      </c>
      <c r="I7" s="18" t="n">
        <v>36</v>
      </c>
      <c r="J7" s="18" t="n">
        <v>88</v>
      </c>
    </row>
    <row r="8" customFormat="false" ht="15" hidden="false" customHeight="false" outlineLevel="0" collapsed="false">
      <c r="A8" s="11" t="s">
        <v>117</v>
      </c>
      <c r="B8" s="18" t="n">
        <v>218</v>
      </c>
      <c r="C8" s="18" t="n">
        <v>223</v>
      </c>
      <c r="D8" s="18" t="n">
        <v>224</v>
      </c>
      <c r="E8" s="18" t="n">
        <v>241</v>
      </c>
      <c r="F8" s="18" t="n">
        <v>224</v>
      </c>
      <c r="G8" s="18" t="n">
        <v>282</v>
      </c>
      <c r="H8" s="18" t="n">
        <v>284</v>
      </c>
      <c r="I8" s="18" t="n">
        <v>369</v>
      </c>
      <c r="J8" s="18" t="n">
        <v>366</v>
      </c>
    </row>
    <row r="10" customFormat="false" ht="15" hidden="false" customHeight="false" outlineLevel="0" collapsed="false">
      <c r="A10" s="26" t="s">
        <v>118</v>
      </c>
    </row>
    <row r="11" customFormat="false" ht="15" hidden="false" customHeight="false" outlineLevel="0" collapsed="false">
      <c r="A11" s="27" t="s">
        <v>119</v>
      </c>
      <c r="B11" s="5"/>
      <c r="C11" s="24" t="n">
        <f aca="false">IF(B6=0,0,C6/B6-1)</f>
        <v>0.0707070707070707</v>
      </c>
      <c r="D11" s="24" t="n">
        <f aca="false">IF(C6=0,0,D6/C6-1)</f>
        <v>0.054245283018868</v>
      </c>
      <c r="E11" s="24" t="n">
        <f aca="false">IF(D6=0,0,E6/D6-1)</f>
        <v>-0.214765100671141</v>
      </c>
      <c r="F11" s="24" t="n">
        <f aca="false">IF(E6=0,0,F6/E6-1)</f>
        <v>0.427350427350427</v>
      </c>
      <c r="G11" s="24" t="n">
        <f aca="false">IF(F6=0,0,G6/F6-1)</f>
        <v>0.0578842315369261</v>
      </c>
      <c r="H11" s="24" t="n">
        <f aca="false">IF(G6=0,0,H6/G6-1)</f>
        <v>0.0830188679245283</v>
      </c>
      <c r="I11" s="24" t="n">
        <f aca="false">IF(H6=0,0,I6/H6-1)</f>
        <v>0.024390243902439</v>
      </c>
      <c r="J11" s="24" t="n">
        <f aca="false">IF(I6=0,0,J6/I6-1)</f>
        <v>0.0986394557823129</v>
      </c>
    </row>
    <row r="12" customFormat="false" ht="15" hidden="false" customHeight="false" outlineLevel="0" collapsed="false">
      <c r="A12" s="27" t="s">
        <v>120</v>
      </c>
      <c r="B12" s="24" t="n">
        <f aca="false">B7/B6</f>
        <v>0.156565656565657</v>
      </c>
      <c r="C12" s="24" t="n">
        <f aca="false">C7/C6</f>
        <v>0.183962264150943</v>
      </c>
      <c r="D12" s="24" t="n">
        <f aca="false">D7/D6</f>
        <v>0.214765100671141</v>
      </c>
      <c r="E12" s="24" t="n">
        <f aca="false">E7/E6</f>
        <v>-0.0626780626780627</v>
      </c>
      <c r="F12" s="24" t="n">
        <f aca="false">F7/F6</f>
        <v>0.277445109780439</v>
      </c>
      <c r="G12" s="24" t="n">
        <f aca="false">G7/G6</f>
        <v>0.135849056603774</v>
      </c>
      <c r="H12" s="24" t="n">
        <f aca="false">H7/H6</f>
        <v>0.189895470383275</v>
      </c>
      <c r="I12" s="24" t="n">
        <f aca="false">I7/I6</f>
        <v>0.0612244897959184</v>
      </c>
      <c r="J12" s="24" t="n">
        <f aca="false">J7/J6</f>
        <v>0.136222910216718</v>
      </c>
    </row>
    <row r="13" customFormat="false" ht="15" hidden="false" customHeight="false" outlineLevel="0" collapsed="false">
      <c r="A13" s="27" t="s">
        <v>121</v>
      </c>
      <c r="B13" s="24" t="n">
        <f aca="false">B8/B6</f>
        <v>0.550505050505051</v>
      </c>
      <c r="C13" s="24" t="n">
        <f aca="false">C8/C6</f>
        <v>0.525943396226415</v>
      </c>
      <c r="D13" s="24" t="n">
        <f aca="false">D8/D6</f>
        <v>0.501118568232662</v>
      </c>
      <c r="E13" s="24" t="n">
        <f aca="false">E8/E6</f>
        <v>0.686609686609687</v>
      </c>
      <c r="F13" s="24" t="n">
        <f aca="false">F8/F6</f>
        <v>0.447105788423154</v>
      </c>
      <c r="G13" s="24" t="n">
        <f aca="false">G8/G6</f>
        <v>0.532075471698113</v>
      </c>
      <c r="H13" s="24" t="n">
        <f aca="false">H8/H6</f>
        <v>0.494773519163763</v>
      </c>
      <c r="I13" s="24" t="n">
        <f aca="false">I8/I6</f>
        <v>0.627551020408163</v>
      </c>
      <c r="J13" s="24" t="n">
        <f aca="false">J8/J6</f>
        <v>0.56656346749226</v>
      </c>
    </row>
    <row r="14" customFormat="false" ht="15" hidden="false" customHeight="false" outlineLevel="0" collapsed="false">
      <c r="A14" s="27" t="s">
        <v>122</v>
      </c>
      <c r="B14" s="28" t="n">
        <f aca="false">B5/B6</f>
        <v>5.80808080808081</v>
      </c>
      <c r="C14" s="28" t="n">
        <f aca="false">C5/C6</f>
        <v>5.66037735849057</v>
      </c>
      <c r="D14" s="28" t="n">
        <f aca="false">D5/D6</f>
        <v>5.8165548098434</v>
      </c>
      <c r="E14" s="28" t="n">
        <f aca="false">E5/E6</f>
        <v>8.26210826210826</v>
      </c>
      <c r="F14" s="28" t="n">
        <f aca="false">F5/F6</f>
        <v>7.18562874251497</v>
      </c>
      <c r="G14" s="28" t="n">
        <f aca="false">G5/G6</f>
        <v>7.73584905660377</v>
      </c>
      <c r="H14" s="28" t="n">
        <f aca="false">H5/H6</f>
        <v>7.8397212543554</v>
      </c>
      <c r="I14" s="28" t="n">
        <f aca="false">I5/I6</f>
        <v>9.69387755102041</v>
      </c>
      <c r="J14" s="28" t="n">
        <f aca="false">J5/J6</f>
        <v>12.5386996904025</v>
      </c>
    </row>
    <row r="15" customFormat="false" ht="15" hidden="false" customHeight="false" outlineLevel="0" collapsed="false">
      <c r="A15" s="27" t="s">
        <v>123</v>
      </c>
      <c r="B15" s="28" t="n">
        <f aca="false">IF(B7&lt;=0,"n.m.",B5/B7)</f>
        <v>37.0967741935484</v>
      </c>
      <c r="C15" s="28" t="n">
        <f aca="false">IF(C7&lt;=0,"n.m.",C5/C7)</f>
        <v>30.7692307692308</v>
      </c>
      <c r="D15" s="28" t="n">
        <f aca="false">IF(D7&lt;=0,"n.m.",D5/D7)</f>
        <v>27.0833333333333</v>
      </c>
      <c r="E15" s="28" t="str">
        <f aca="false">IF(E7&lt;=0,"n.m.",E5/E7)</f>
        <v>n.m.</v>
      </c>
      <c r="F15" s="28" t="n">
        <f aca="false">IF(F7&lt;=0,"n.m.",F5/F7)</f>
        <v>25.8992805755396</v>
      </c>
      <c r="G15" s="28" t="n">
        <f aca="false">IF(G7&lt;=0,"n.m.",G5/G7)</f>
        <v>56.9444444444444</v>
      </c>
      <c r="H15" s="28" t="n">
        <f aca="false">IF(H7&lt;=0,"n.m.",H5/H7)</f>
        <v>41.2844036697248</v>
      </c>
      <c r="I15" s="28" t="n">
        <f aca="false">IF(I7&lt;=0,"n.m.",I5/I7)</f>
        <v>158.333333333333</v>
      </c>
      <c r="J15" s="28" t="n">
        <f aca="false">IF(J7&lt;=0,"n.m.",J5/J7)</f>
        <v>92.0454545454546</v>
      </c>
    </row>
    <row r="16" customFormat="false" ht="15" hidden="false" customHeight="false" outlineLevel="0" collapsed="false">
      <c r="A16" s="27" t="s">
        <v>124</v>
      </c>
      <c r="B16" s="5"/>
      <c r="C16" s="24" t="n">
        <f aca="false">C5/B5-1</f>
        <v>0.0434782608695652</v>
      </c>
      <c r="D16" s="24" t="n">
        <f aca="false">D5/C5-1</f>
        <v>0.0833333333333333</v>
      </c>
      <c r="E16" s="24" t="n">
        <f aca="false">E5/D5-1</f>
        <v>0.115384615384615</v>
      </c>
      <c r="F16" s="24" t="n">
        <f aca="false">F5/E5-1</f>
        <v>0.241379310344828</v>
      </c>
      <c r="G16" s="24" t="n">
        <f aca="false">G5/F5-1</f>
        <v>0.138888888888889</v>
      </c>
      <c r="H16" s="24" t="n">
        <f aca="false">H5/G5-1</f>
        <v>0.0975609756097562</v>
      </c>
      <c r="I16" s="24" t="n">
        <f aca="false">I5/H5-1</f>
        <v>0.266666666666667</v>
      </c>
      <c r="J16" s="24" t="n">
        <f aca="false">J5/I5-1</f>
        <v>0.421052631578947</v>
      </c>
    </row>
    <row r="18" customFormat="false" ht="15" hidden="false" customHeight="false" outlineLevel="0" collapsed="false">
      <c r="A18" s="26" t="s">
        <v>125</v>
      </c>
      <c r="B18" s="29" t="n">
        <f aca="false">(J5/B5)^(1/8)-1</f>
        <v>0.170427851894423</v>
      </c>
    </row>
    <row r="19" customFormat="false" ht="15" hidden="false" customHeight="false" outlineLevel="0" collapsed="false">
      <c r="A19" s="26" t="s">
        <v>126</v>
      </c>
      <c r="B19" s="29" t="n">
        <f aca="false">(J6/B6)^(1/8)-1</f>
        <v>0.0630829833640854</v>
      </c>
    </row>
    <row r="20" customFormat="false" ht="15" hidden="false" customHeight="false" outlineLevel="0" collapsed="false">
      <c r="A20" s="26" t="s">
        <v>127</v>
      </c>
      <c r="B20" s="30" t="n">
        <f aca="false">J5/Inputs!$B$12</f>
        <v>3.55263157894737</v>
      </c>
    </row>
    <row r="22" customFormat="false" ht="15" hidden="false" customHeight="false" outlineLevel="0" collapsed="false">
      <c r="A22" s="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130</v>
      </c>
    </row>
    <row r="4" customFormat="false" ht="23.85" hidden="false" customHeight="false" outlineLevel="0" collapsed="false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122</v>
      </c>
      <c r="H4" s="4" t="s">
        <v>137</v>
      </c>
      <c r="I4" s="4" t="s">
        <v>138</v>
      </c>
    </row>
    <row r="5" customFormat="false" ht="22.35" hidden="false" customHeight="false" outlineLevel="0" collapsed="false">
      <c r="A5" s="5" t="s">
        <v>139</v>
      </c>
      <c r="B5" s="5" t="s">
        <v>140</v>
      </c>
      <c r="C5" s="5" t="s">
        <v>141</v>
      </c>
      <c r="D5" s="20" t="n">
        <v>1</v>
      </c>
      <c r="E5" s="18" t="n">
        <v>9600</v>
      </c>
      <c r="F5" s="18" t="n">
        <v>659</v>
      </c>
      <c r="G5" s="28" t="n">
        <f aca="false">E5/F5</f>
        <v>14.567526555387</v>
      </c>
      <c r="H5" s="5" t="s">
        <v>142</v>
      </c>
      <c r="I5" s="19" t="s">
        <v>143</v>
      </c>
    </row>
    <row r="6" customFormat="false" ht="22.35" hidden="false" customHeight="false" outlineLevel="0" collapsed="false">
      <c r="A6" s="5" t="s">
        <v>144</v>
      </c>
      <c r="B6" s="5" t="s">
        <v>110</v>
      </c>
      <c r="C6" s="5" t="s">
        <v>145</v>
      </c>
      <c r="D6" s="20" t="n">
        <v>1</v>
      </c>
      <c r="E6" s="18" t="n">
        <v>4650</v>
      </c>
      <c r="F6" s="18" t="n">
        <v>526</v>
      </c>
      <c r="G6" s="28" t="n">
        <f aca="false">E6/F6</f>
        <v>8.84030418250951</v>
      </c>
      <c r="H6" s="5" t="s">
        <v>142</v>
      </c>
      <c r="I6" s="19" t="s">
        <v>146</v>
      </c>
    </row>
    <row r="7" customFormat="false" ht="15" hidden="false" customHeight="false" outlineLevel="0" collapsed="false">
      <c r="A7" s="5" t="s">
        <v>147</v>
      </c>
      <c r="B7" s="5" t="s">
        <v>111</v>
      </c>
      <c r="C7" s="5" t="s">
        <v>148</v>
      </c>
      <c r="D7" s="20" t="n">
        <v>1</v>
      </c>
      <c r="E7" s="18" t="n">
        <v>6050</v>
      </c>
      <c r="F7" s="18" t="n">
        <v>545</v>
      </c>
      <c r="G7" s="28" t="n">
        <f aca="false">E7/F7</f>
        <v>11.1009174311927</v>
      </c>
      <c r="H7" s="5" t="s">
        <v>142</v>
      </c>
      <c r="I7" s="19" t="s">
        <v>149</v>
      </c>
    </row>
    <row r="8" customFormat="false" ht="22.35" hidden="false" customHeight="false" outlineLevel="0" collapsed="false">
      <c r="A8" s="5" t="s">
        <v>150</v>
      </c>
      <c r="B8" s="5" t="s">
        <v>151</v>
      </c>
      <c r="C8" s="5" t="s">
        <v>152</v>
      </c>
      <c r="D8" s="20" t="n">
        <v>0.1</v>
      </c>
      <c r="E8" s="18" t="n">
        <v>10300</v>
      </c>
      <c r="F8" s="18" t="n">
        <v>707</v>
      </c>
      <c r="G8" s="28" t="n">
        <f aca="false">E8/F8</f>
        <v>14.5685997171146</v>
      </c>
      <c r="H8" s="5" t="s">
        <v>153</v>
      </c>
      <c r="I8" s="19" t="s">
        <v>154</v>
      </c>
    </row>
    <row r="9" customFormat="false" ht="32.8" hidden="false" customHeight="false" outlineLevel="0" collapsed="false">
      <c r="A9" s="5" t="s">
        <v>155</v>
      </c>
      <c r="B9" s="5" t="s">
        <v>156</v>
      </c>
      <c r="C9" s="5" t="s">
        <v>157</v>
      </c>
      <c r="D9" s="20" t="n">
        <v>0.1</v>
      </c>
      <c r="E9" s="18" t="n">
        <v>10600</v>
      </c>
      <c r="F9" s="18" t="n">
        <v>612</v>
      </c>
      <c r="G9" s="28" t="n">
        <f aca="false">E9/F9</f>
        <v>17.3202614379085</v>
      </c>
      <c r="H9" s="5" t="s">
        <v>158</v>
      </c>
      <c r="I9" s="19" t="s">
        <v>159</v>
      </c>
    </row>
    <row r="10" customFormat="false" ht="22.35" hidden="false" customHeight="false" outlineLevel="0" collapsed="false">
      <c r="A10" s="5" t="s">
        <v>160</v>
      </c>
      <c r="B10" s="5" t="s">
        <v>161</v>
      </c>
      <c r="C10" s="5" t="s">
        <v>157</v>
      </c>
      <c r="D10" s="20" t="n">
        <v>0.03</v>
      </c>
      <c r="E10" s="18" t="n">
        <v>9000</v>
      </c>
      <c r="F10" s="18" t="n">
        <v>685</v>
      </c>
      <c r="G10" s="28" t="n">
        <f aca="false">E10/F10</f>
        <v>13.1386861313869</v>
      </c>
      <c r="H10" s="5" t="s">
        <v>158</v>
      </c>
      <c r="I10" s="19" t="s">
        <v>162</v>
      </c>
    </row>
    <row r="11" customFormat="false" ht="22.35" hidden="false" customHeight="false" outlineLevel="0" collapsed="false">
      <c r="A11" s="5" t="s">
        <v>163</v>
      </c>
      <c r="B11" s="5" t="s">
        <v>164</v>
      </c>
      <c r="C11" s="5" t="s">
        <v>165</v>
      </c>
      <c r="D11" s="20" t="n">
        <v>0.25</v>
      </c>
      <c r="E11" s="18" t="n">
        <v>9900</v>
      </c>
      <c r="F11" s="18" t="n">
        <v>779</v>
      </c>
      <c r="G11" s="28" t="n">
        <f aca="false">E11/F11</f>
        <v>12.7086007702182</v>
      </c>
      <c r="H11" s="5" t="s">
        <v>153</v>
      </c>
      <c r="I11" s="19" t="s">
        <v>166</v>
      </c>
    </row>
    <row r="12" customFormat="false" ht="22.35" hidden="false" customHeight="false" outlineLevel="0" collapsed="false">
      <c r="A12" s="5" t="s">
        <v>167</v>
      </c>
      <c r="B12" s="5" t="s">
        <v>168</v>
      </c>
      <c r="C12" s="5" t="s">
        <v>169</v>
      </c>
      <c r="D12" s="20" t="n">
        <v>0.1</v>
      </c>
      <c r="E12" s="18" t="n">
        <v>8100</v>
      </c>
      <c r="F12" s="18" t="n">
        <v>656</v>
      </c>
      <c r="G12" s="28" t="n">
        <f aca="false">E12/F12</f>
        <v>12.3475609756098</v>
      </c>
      <c r="H12" s="5" t="s">
        <v>158</v>
      </c>
      <c r="I12" s="19" t="s">
        <v>170</v>
      </c>
    </row>
    <row r="13" customFormat="false" ht="22.35" hidden="false" customHeight="false" outlineLevel="0" collapsed="false">
      <c r="A13" s="5" t="s">
        <v>171</v>
      </c>
      <c r="B13" s="5" t="s">
        <v>112</v>
      </c>
      <c r="C13" s="5" t="s">
        <v>157</v>
      </c>
      <c r="D13" s="20" t="n">
        <v>0.1</v>
      </c>
      <c r="E13" s="18" t="n">
        <v>5800</v>
      </c>
      <c r="F13" s="18" t="n">
        <v>552</v>
      </c>
      <c r="G13" s="28" t="n">
        <f aca="false">E13/F13</f>
        <v>10.5072463768116</v>
      </c>
      <c r="H13" s="5" t="s">
        <v>158</v>
      </c>
      <c r="I13" s="19" t="s">
        <v>172</v>
      </c>
    </row>
    <row r="15" customFormat="false" ht="15" hidden="false" customHeight="false" outlineLevel="0" collapsed="false">
      <c r="A15" s="26" t="s">
        <v>173</v>
      </c>
    </row>
    <row r="16" customFormat="false" ht="15" hidden="false" customHeight="false" outlineLevel="0" collapsed="false">
      <c r="A16" s="27" t="s">
        <v>174</v>
      </c>
      <c r="G16" s="30" t="n">
        <f aca="false">AVERAGEIF(H5:H13,"Control",G5:G13)</f>
        <v>11.502916056363</v>
      </c>
    </row>
    <row r="17" customFormat="false" ht="15" hidden="false" customHeight="false" outlineLevel="0" collapsed="false">
      <c r="A17" s="27" t="s">
        <v>175</v>
      </c>
      <c r="G17" s="30" t="n">
        <f aca="false">AVERAGEIF(H5:H13,"*inority",G5:G13)</f>
        <v>13.4318259015083</v>
      </c>
    </row>
    <row r="18" customFormat="false" ht="15" hidden="false" customHeight="false" outlineLevel="0" collapsed="false">
      <c r="A18" s="27" t="s">
        <v>176</v>
      </c>
      <c r="G18" s="30" t="n">
        <f aca="false">MEDIAN(G5:G13)</f>
        <v>12.7086007702182</v>
      </c>
    </row>
    <row r="19" customFormat="false" ht="15" hidden="false" customHeight="false" outlineLevel="0" collapsed="false">
      <c r="A19" s="27" t="s">
        <v>177</v>
      </c>
      <c r="G19" s="30" t="n">
        <f aca="false">MIN(G5:G13)</f>
        <v>8.84030418250951</v>
      </c>
    </row>
    <row r="20" customFormat="false" ht="15" hidden="false" customHeight="false" outlineLevel="0" collapsed="false">
      <c r="A20" s="27" t="s">
        <v>178</v>
      </c>
      <c r="G20" s="30" t="n">
        <f aca="false">MAX(G5:G13)</f>
        <v>17.3202614379085</v>
      </c>
    </row>
    <row r="21" customFormat="false" ht="15" hidden="false" customHeight="false" outlineLevel="0" collapsed="false">
      <c r="A21" s="27" t="s">
        <v>179</v>
      </c>
      <c r="G21" s="30" t="n">
        <f aca="false">Inputs!$B$14</f>
        <v>13.4</v>
      </c>
    </row>
    <row r="23" customFormat="false" ht="15" hidden="false" customHeight="false" outlineLevel="0" collapsed="false">
      <c r="A23" s="26" t="s">
        <v>180</v>
      </c>
    </row>
    <row r="24" customFormat="false" ht="15" hidden="false" customHeight="false" outlineLevel="0" collapsed="false">
      <c r="A24" s="4" t="s">
        <v>181</v>
      </c>
      <c r="B24" s="4" t="s">
        <v>182</v>
      </c>
      <c r="C24" s="4" t="s">
        <v>183</v>
      </c>
      <c r="D24" s="4" t="s">
        <v>184</v>
      </c>
      <c r="E24" s="4" t="s">
        <v>185</v>
      </c>
      <c r="F24" s="4" t="s">
        <v>186</v>
      </c>
    </row>
    <row r="25" customFormat="false" ht="15" hidden="false" customHeight="false" outlineLevel="0" collapsed="false">
      <c r="A25" s="5" t="s">
        <v>187</v>
      </c>
      <c r="B25" s="28" t="n">
        <f aca="false">G19</f>
        <v>8.84030418250951</v>
      </c>
      <c r="C25" s="8" t="n">
        <f aca="false">B25*Inputs!$B$8</f>
        <v>5710.83650190114</v>
      </c>
      <c r="D25" s="8" t="n">
        <f aca="false">-Inputs!$B$11*C25</f>
        <v>-114.216730038023</v>
      </c>
      <c r="E25" s="7" t="n">
        <f aca="false">C25+D25</f>
        <v>5596.61977186312</v>
      </c>
      <c r="F25" s="24" t="n">
        <f aca="false">C25/Inputs!$B$6-1</f>
        <v>-0.294958456555415</v>
      </c>
    </row>
    <row r="26" customFormat="false" ht="15" hidden="false" customHeight="false" outlineLevel="0" collapsed="false">
      <c r="A26" s="5" t="s">
        <v>188</v>
      </c>
      <c r="B26" s="28" t="n">
        <f aca="false">G18</f>
        <v>12.7086007702182</v>
      </c>
      <c r="C26" s="8" t="n">
        <f aca="false">B26*Inputs!$B$8</f>
        <v>8209.75609756098</v>
      </c>
      <c r="D26" s="8" t="n">
        <f aca="false">-Inputs!$B$11*C26</f>
        <v>-164.19512195122</v>
      </c>
      <c r="E26" s="7" t="n">
        <f aca="false">C26+D26</f>
        <v>8045.56097560976</v>
      </c>
      <c r="F26" s="24" t="n">
        <f aca="false">C26/Inputs!$B$6-1</f>
        <v>0.013550135501355</v>
      </c>
    </row>
    <row r="27" customFormat="false" ht="15" hidden="false" customHeight="false" outlineLevel="0" collapsed="false">
      <c r="A27" s="5" t="s">
        <v>189</v>
      </c>
      <c r="B27" s="28" t="n">
        <f aca="false">G17</f>
        <v>13.4318259015083</v>
      </c>
      <c r="C27" s="8" t="n">
        <f aca="false">B27*Inputs!$B$8</f>
        <v>8676.95953237433</v>
      </c>
      <c r="D27" s="8" t="n">
        <f aca="false">-Inputs!$B$11*C27</f>
        <v>-173.539190647487</v>
      </c>
      <c r="E27" s="7" t="n">
        <f aca="false">C27+D27</f>
        <v>8503.42034172684</v>
      </c>
      <c r="F27" s="24" t="n">
        <f aca="false">C27/Inputs!$B$6-1</f>
        <v>0.0712295718980656</v>
      </c>
    </row>
    <row r="28" customFormat="false" ht="15" hidden="false" customHeight="false" outlineLevel="0" collapsed="false">
      <c r="A28" s="5" t="s">
        <v>190</v>
      </c>
      <c r="B28" s="28" t="n">
        <f aca="false">G16</f>
        <v>11.502916056363</v>
      </c>
      <c r="C28" s="8" t="n">
        <f aca="false">B28*Inputs!$B$8</f>
        <v>7430.88377241052</v>
      </c>
      <c r="D28" s="8" t="n">
        <f aca="false">-Inputs!$B$11*C28</f>
        <v>-148.61767544821</v>
      </c>
      <c r="E28" s="7" t="n">
        <f aca="false">C28+D28</f>
        <v>7282.26609696231</v>
      </c>
      <c r="F28" s="24" t="n">
        <f aca="false">C28/Inputs!$B$6-1</f>
        <v>-0.0826069416777132</v>
      </c>
    </row>
    <row r="29" customFormat="false" ht="15" hidden="false" customHeight="false" outlineLevel="0" collapsed="false">
      <c r="A29" s="5" t="s">
        <v>191</v>
      </c>
      <c r="B29" s="28" t="n">
        <f aca="false">G20</f>
        <v>17.3202614379085</v>
      </c>
      <c r="C29" s="8" t="n">
        <f aca="false">B29*Inputs!$B$8</f>
        <v>11188.8888888889</v>
      </c>
      <c r="D29" s="8" t="n">
        <f aca="false">-Inputs!$B$11*C29</f>
        <v>-223.777777777778</v>
      </c>
      <c r="E29" s="7" t="n">
        <f aca="false">C29+D29</f>
        <v>10965.1111111111</v>
      </c>
      <c r="F29" s="24" t="n">
        <f aca="false">C29/Inputs!$B$6-1</f>
        <v>0.381344307270233</v>
      </c>
    </row>
    <row r="30" customFormat="false" ht="15" hidden="false" customHeight="false" outlineLevel="0" collapsed="false">
      <c r="A30" s="5" t="s">
        <v>192</v>
      </c>
      <c r="B30" s="28" t="n">
        <f aca="false">G21</f>
        <v>13.4</v>
      </c>
      <c r="C30" s="8" t="n">
        <f aca="false">B30*Inputs!$B$8</f>
        <v>8656.4</v>
      </c>
      <c r="D30" s="8" t="n">
        <f aca="false">-Inputs!$B$11*C30</f>
        <v>-173.128</v>
      </c>
      <c r="E30" s="7" t="n">
        <f aca="false">C30+D30</f>
        <v>8483.272</v>
      </c>
      <c r="F30" s="24" t="n">
        <f aca="false">C30/Inputs!$B$6-1</f>
        <v>0.0686913580246913</v>
      </c>
    </row>
    <row r="32" customFormat="false" ht="15" hidden="false" customHeight="true" outlineLevel="0" collapsed="false">
      <c r="A32" s="31" t="s">
        <v>193</v>
      </c>
      <c r="B32" s="31"/>
      <c r="C32" s="31"/>
      <c r="D32" s="31"/>
      <c r="E32" s="31"/>
      <c r="F32" s="31"/>
      <c r="G32" s="31"/>
      <c r="H32" s="31"/>
      <c r="I32" s="31"/>
    </row>
    <row r="33" customFormat="false" ht="15" hidden="false" customHeight="false" outlineLevel="0" collapsed="false">
      <c r="A33" s="31"/>
      <c r="B33" s="31"/>
      <c r="C33" s="31"/>
      <c r="D33" s="31"/>
      <c r="E33" s="31"/>
      <c r="F33" s="31"/>
      <c r="G33" s="31"/>
      <c r="H33" s="31"/>
      <c r="I33" s="31"/>
    </row>
    <row r="34" customFormat="false" ht="15" hidden="false" customHeight="false" outlineLevel="0" collapsed="false">
      <c r="A34" s="31"/>
      <c r="B34" s="31"/>
      <c r="C34" s="31"/>
      <c r="D34" s="31"/>
      <c r="E34" s="31"/>
      <c r="F34" s="31"/>
      <c r="G34" s="31"/>
      <c r="H34" s="31"/>
      <c r="I34" s="31"/>
    </row>
  </sheetData>
  <mergeCells count="1">
    <mergeCell ref="A32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1"/>
  </cols>
  <sheetData>
    <row r="1" customFormat="false" ht="17.35" hidden="false" customHeight="false" outlineLevel="0" collapsed="false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195</v>
      </c>
    </row>
    <row r="4" customFormat="false" ht="15" hidden="false" customHeight="false" outlineLevel="0" collapsed="false">
      <c r="A4" s="4" t="s">
        <v>104</v>
      </c>
      <c r="B4" s="4" t="s">
        <v>196</v>
      </c>
      <c r="C4" s="4" t="s">
        <v>140</v>
      </c>
      <c r="D4" s="4" t="s">
        <v>197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4" t="s">
        <v>203</v>
      </c>
      <c r="K4" s="4" t="s">
        <v>204</v>
      </c>
      <c r="L4" s="4" t="s">
        <v>205</v>
      </c>
    </row>
    <row r="5" customFormat="false" ht="15" hidden="true" customHeight="false" outlineLevel="0" collapsed="false">
      <c r="B5" s="32" t="n">
        <v>2025</v>
      </c>
      <c r="C5" s="32" t="n">
        <v>2026</v>
      </c>
      <c r="D5" s="32" t="n">
        <v>2027</v>
      </c>
      <c r="E5" s="32" t="n">
        <v>2028</v>
      </c>
      <c r="F5" s="32" t="n">
        <v>2029</v>
      </c>
      <c r="G5" s="32" t="n">
        <v>2030</v>
      </c>
      <c r="H5" s="32" t="n">
        <v>2031</v>
      </c>
      <c r="I5" s="32" t="n">
        <v>2032</v>
      </c>
      <c r="J5" s="32" t="n">
        <v>2033</v>
      </c>
      <c r="K5" s="32" t="n">
        <v>2034</v>
      </c>
      <c r="L5" s="32" t="n">
        <v>2035</v>
      </c>
    </row>
    <row r="7" customFormat="false" ht="15" hidden="false" customHeight="false" outlineLevel="0" collapsed="false">
      <c r="A7" s="11" t="s">
        <v>206</v>
      </c>
      <c r="B7" s="6" t="n">
        <f aca="false">Inputs!$B$16</f>
        <v>455</v>
      </c>
      <c r="C7" s="8" t="n">
        <f aca="false">B7*(1+IF(C$5&lt;=2029,Inputs!$B$20,Inputs!$B$22))*(1+IF(C$5=2030,Inputs!$B$21,0))</f>
        <v>482.3</v>
      </c>
      <c r="D7" s="8" t="n">
        <f aca="false">C7*(1+IF(D$5&lt;=2029,Inputs!$B$20,Inputs!$B$22))*(1+IF(D$5=2030,Inputs!$B$21,0))</f>
        <v>511.238</v>
      </c>
      <c r="E7" s="8" t="n">
        <f aca="false">D7*(1+IF(E$5&lt;=2029,Inputs!$B$20,Inputs!$B$22))*(1+IF(E$5=2030,Inputs!$B$21,0))</f>
        <v>541.91228</v>
      </c>
      <c r="F7" s="8" t="n">
        <f aca="false">E7*(1+IF(F$5&lt;=2029,Inputs!$B$20,Inputs!$B$22))*(1+IF(F$5=2030,Inputs!$B$21,0))</f>
        <v>574.4270168</v>
      </c>
      <c r="G7" s="8" t="n">
        <f aca="false">F7*(1+IF(G$5&lt;=2029,Inputs!$B$20,Inputs!$B$22))*(1+IF(G$5=2030,Inputs!$B$21,0))</f>
        <v>663.463204404</v>
      </c>
      <c r="H7" s="8" t="n">
        <f aca="false">G7*(1+IF(H$5&lt;=2029,Inputs!$B$20,Inputs!$B$22))*(1+IF(H$5=2030,Inputs!$B$21,0))</f>
        <v>696.6363646242</v>
      </c>
      <c r="I7" s="8" t="n">
        <f aca="false">H7*(1+IF(I$5&lt;=2029,Inputs!$B$20,Inputs!$B$22))*(1+IF(I$5=2030,Inputs!$B$21,0))</f>
        <v>731.46818285541</v>
      </c>
      <c r="J7" s="8" t="n">
        <f aca="false">I7*(1+IF(J$5&lt;=2029,Inputs!$B$20,Inputs!$B$22))*(1+IF(J$5=2030,Inputs!$B$21,0))</f>
        <v>768.041591998181</v>
      </c>
      <c r="K7" s="8" t="n">
        <f aca="false">J7*(1+IF(K$5&lt;=2029,Inputs!$B$20,Inputs!$B$22))*(1+IF(K$5=2030,Inputs!$B$21,0))</f>
        <v>806.44367159809</v>
      </c>
      <c r="L7" s="8" t="n">
        <f aca="false">K7*(1+IF(L$5&lt;=2029,Inputs!$B$20,Inputs!$B$22))*(1+IF(L$5=2030,Inputs!$B$21,0))</f>
        <v>846.765855177995</v>
      </c>
    </row>
    <row r="8" customFormat="false" ht="15" hidden="false" customHeight="false" outlineLevel="0" collapsed="false">
      <c r="A8" s="11" t="s">
        <v>207</v>
      </c>
      <c r="B8" s="6" t="n">
        <f aca="false">Inputs!$B$17</f>
        <v>191</v>
      </c>
      <c r="C8" s="8" t="n">
        <f aca="false">B8*(1+Inputs!$B$23)*(1+IF(C$5=Inputs!$B$25,Inputs!$B$24,0))</f>
        <v>196.73</v>
      </c>
      <c r="D8" s="8" t="n">
        <f aca="false">C8*(1+Inputs!$B$23)*(1+IF(D$5=Inputs!$B$25,Inputs!$B$24,0))</f>
        <v>202.6319</v>
      </c>
      <c r="E8" s="8" t="n">
        <f aca="false">D8*(1+Inputs!$B$23)*(1+IF(E$5=Inputs!$B$25,Inputs!$B$24,0))</f>
        <v>250.4530284</v>
      </c>
      <c r="F8" s="8" t="n">
        <f aca="false">E8*(1+Inputs!$B$23)*(1+IF(F$5=Inputs!$B$25,Inputs!$B$24,0))</f>
        <v>257.966619252</v>
      </c>
      <c r="G8" s="8" t="n">
        <f aca="false">F8*(1+Inputs!$B$23)*(1+IF(G$5=Inputs!$B$25,Inputs!$B$24,0))</f>
        <v>265.70561782956</v>
      </c>
      <c r="H8" s="8" t="n">
        <f aca="false">G8*(1+Inputs!$B$23)*(1+IF(H$5=Inputs!$B$25,Inputs!$B$24,0))</f>
        <v>273.676786364447</v>
      </c>
      <c r="I8" s="8" t="n">
        <f aca="false">H8*(1+Inputs!$B$23)*(1+IF(I$5=Inputs!$B$25,Inputs!$B$24,0))</f>
        <v>281.88708995538</v>
      </c>
      <c r="J8" s="8" t="n">
        <f aca="false">I8*(1+Inputs!$B$23)*(1+IF(J$5=Inputs!$B$25,Inputs!$B$24,0))</f>
        <v>290.343702654042</v>
      </c>
      <c r="K8" s="8" t="n">
        <f aca="false">J8*(1+Inputs!$B$23)*(1+IF(K$5=Inputs!$B$25,Inputs!$B$24,0))</f>
        <v>299.054013733663</v>
      </c>
      <c r="L8" s="8" t="n">
        <f aca="false">K8*(1+Inputs!$B$23)*(1+IF(L$5=Inputs!$B$25,Inputs!$B$24,0))</f>
        <v>308.025634145673</v>
      </c>
    </row>
    <row r="9" customFormat="false" ht="15" hidden="false" customHeight="false" outlineLevel="0" collapsed="false">
      <c r="A9" s="26" t="s">
        <v>208</v>
      </c>
      <c r="B9" s="7" t="n">
        <f aca="false">B7+B8</f>
        <v>646</v>
      </c>
      <c r="C9" s="7" t="n">
        <f aca="false">C7+C8</f>
        <v>679.03</v>
      </c>
      <c r="D9" s="7" t="n">
        <f aca="false">D7+D8</f>
        <v>713.8699</v>
      </c>
      <c r="E9" s="7" t="n">
        <f aca="false">E7+E8</f>
        <v>792.3653084</v>
      </c>
      <c r="F9" s="7" t="n">
        <f aca="false">F7+F8</f>
        <v>832.393636052</v>
      </c>
      <c r="G9" s="7" t="n">
        <f aca="false">G7+G8</f>
        <v>929.16882223356</v>
      </c>
      <c r="H9" s="7" t="n">
        <f aca="false">H7+H8</f>
        <v>970.313150988647</v>
      </c>
      <c r="I9" s="7" t="n">
        <f aca="false">I7+I8</f>
        <v>1013.35527281079</v>
      </c>
      <c r="J9" s="7" t="n">
        <f aca="false">J7+J8</f>
        <v>1058.38529465222</v>
      </c>
      <c r="K9" s="7" t="n">
        <f aca="false">K7+K8</f>
        <v>1105.49768533175</v>
      </c>
      <c r="L9" s="7" t="n">
        <f aca="false">L7+L8</f>
        <v>1154.79148932367</v>
      </c>
    </row>
    <row r="10" customFormat="false" ht="15" hidden="false" customHeight="false" outlineLevel="0" collapsed="false">
      <c r="A10" s="11" t="s">
        <v>209</v>
      </c>
      <c r="C10" s="24" t="n">
        <f aca="false">C9/B9-1</f>
        <v>0.0511300309597522</v>
      </c>
      <c r="D10" s="24" t="n">
        <f aca="false">D9/C9-1</f>
        <v>0.0513083368923319</v>
      </c>
      <c r="E10" s="24" t="n">
        <f aca="false">E9/D9-1</f>
        <v>0.109957582467057</v>
      </c>
      <c r="F10" s="24" t="n">
        <f aca="false">F9/E9-1</f>
        <v>0.0505175166399297</v>
      </c>
      <c r="G10" s="24" t="n">
        <f aca="false">G9/F9-1</f>
        <v>0.116261323957929</v>
      </c>
      <c r="H10" s="24" t="n">
        <f aca="false">H9/G9-1</f>
        <v>0.0442807892070496</v>
      </c>
      <c r="I10" s="24" t="n">
        <f aca="false">I9/H9-1</f>
        <v>0.0443590007806118</v>
      </c>
      <c r="J10" s="24" t="n">
        <f aca="false">J9/I9-1</f>
        <v>0.0444365594669773</v>
      </c>
      <c r="K10" s="24" t="n">
        <f aca="false">K9/J9-1</f>
        <v>0.0445134592454926</v>
      </c>
      <c r="L10" s="24" t="n">
        <f aca="false">L9/K9-1</f>
        <v>0.0445896944389546</v>
      </c>
    </row>
    <row r="12" customFormat="false" ht="15" hidden="false" customHeight="false" outlineLevel="0" collapsed="false">
      <c r="A12" s="11" t="s">
        <v>117</v>
      </c>
      <c r="B12" s="6" t="n">
        <f aca="false">-Inputs!$B$10</f>
        <v>-366</v>
      </c>
      <c r="C12" s="8" t="n">
        <f aca="false">B12*(1+Inputs!$B$26)</f>
        <v>-387.96</v>
      </c>
      <c r="D12" s="8" t="n">
        <f aca="false">C12*(1+Inputs!$B$26)</f>
        <v>-411.2376</v>
      </c>
      <c r="E12" s="8" t="n">
        <f aca="false">D12*(1+Inputs!$B$26)</f>
        <v>-435.911856</v>
      </c>
      <c r="F12" s="8" t="n">
        <f aca="false">E12*(1+Inputs!$B$26)</f>
        <v>-462.06656736</v>
      </c>
      <c r="G12" s="8" t="n">
        <f aca="false">F12*(1+Inputs!$B$26)</f>
        <v>-489.7905614016</v>
      </c>
      <c r="H12" s="8" t="n">
        <f aca="false">G12*(1+Inputs!$B$26)</f>
        <v>-519.177995085696</v>
      </c>
      <c r="I12" s="8" t="n">
        <f aca="false">H12*(1+Inputs!$B$26)</f>
        <v>-550.328674790838</v>
      </c>
      <c r="J12" s="8" t="n">
        <f aca="false">I12*(1+Inputs!$B$26)</f>
        <v>-583.348395278288</v>
      </c>
      <c r="K12" s="8" t="n">
        <f aca="false">J12*(1+Inputs!$B$26)</f>
        <v>-618.349298994986</v>
      </c>
      <c r="L12" s="8" t="n">
        <f aca="false">K12*(1+Inputs!$B$26)</f>
        <v>-655.450256934685</v>
      </c>
    </row>
    <row r="13" customFormat="false" ht="15" hidden="false" customHeight="false" outlineLevel="0" collapsed="false">
      <c r="A13" s="11" t="s">
        <v>210</v>
      </c>
      <c r="B13" s="6" t="n">
        <f aca="false">-Inputs!$B$18</f>
        <v>-192</v>
      </c>
      <c r="C13" s="8" t="n">
        <f aca="false">B13*(1+Inputs!$B$27)</f>
        <v>-197.76</v>
      </c>
      <c r="D13" s="8" t="n">
        <f aca="false">C13*(1+Inputs!$B$27)</f>
        <v>-203.6928</v>
      </c>
      <c r="E13" s="8" t="n">
        <f aca="false">D13*(1+Inputs!$B$27)</f>
        <v>-209.803584</v>
      </c>
      <c r="F13" s="8" t="n">
        <f aca="false">E13*(1+Inputs!$B$27)</f>
        <v>-216.09769152</v>
      </c>
      <c r="G13" s="8" t="n">
        <f aca="false">F13*(1+Inputs!$B$27)</f>
        <v>-222.5806222656</v>
      </c>
      <c r="H13" s="8" t="n">
        <f aca="false">G13*(1+Inputs!$B$27)</f>
        <v>-229.258040933568</v>
      </c>
      <c r="I13" s="8" t="n">
        <f aca="false">H13*(1+Inputs!$B$27)</f>
        <v>-236.135782161575</v>
      </c>
      <c r="J13" s="8" t="n">
        <f aca="false">I13*(1+Inputs!$B$27)</f>
        <v>-243.219855626422</v>
      </c>
      <c r="K13" s="8" t="n">
        <f aca="false">J13*(1+Inputs!$B$27)</f>
        <v>-250.516451295215</v>
      </c>
      <c r="L13" s="8" t="n">
        <f aca="false">K13*(1+Inputs!$B$27)</f>
        <v>-258.031944834071</v>
      </c>
    </row>
    <row r="14" customFormat="false" ht="15" hidden="false" customHeight="false" outlineLevel="0" collapsed="false">
      <c r="A14" s="26" t="s">
        <v>211</v>
      </c>
      <c r="B14" s="7" t="n">
        <f aca="false">B9+B12+B13</f>
        <v>88</v>
      </c>
      <c r="C14" s="7" t="n">
        <f aca="false">C9+C12+C13</f>
        <v>93.31</v>
      </c>
      <c r="D14" s="7" t="n">
        <f aca="false">D9+D12+D13</f>
        <v>98.9395000000001</v>
      </c>
      <c r="E14" s="7" t="n">
        <f aca="false">E9+E12+E13</f>
        <v>146.6498684</v>
      </c>
      <c r="F14" s="7" t="n">
        <f aca="false">F9+F12+F13</f>
        <v>154.229377172</v>
      </c>
      <c r="G14" s="7" t="n">
        <f aca="false">G9+G12+G13</f>
        <v>216.79763856636</v>
      </c>
      <c r="H14" s="7" t="n">
        <f aca="false">H9+H12+H13</f>
        <v>221.877114969383</v>
      </c>
      <c r="I14" s="7" t="n">
        <f aca="false">I9+I12+I13</f>
        <v>226.890815858378</v>
      </c>
      <c r="J14" s="7" t="n">
        <f aca="false">J9+J12+J13</f>
        <v>231.817043747512</v>
      </c>
      <c r="K14" s="7" t="n">
        <f aca="false">K9+K12+K13</f>
        <v>236.631935041552</v>
      </c>
      <c r="L14" s="7" t="n">
        <f aca="false">L9+L12+L13</f>
        <v>241.309287554911</v>
      </c>
    </row>
    <row r="15" customFormat="false" ht="15" hidden="false" customHeight="false" outlineLevel="0" collapsed="false">
      <c r="A15" s="11" t="s">
        <v>212</v>
      </c>
      <c r="B15" s="24" t="n">
        <f aca="false">B14/B9</f>
        <v>0.136222910216718</v>
      </c>
      <c r="C15" s="24" t="n">
        <f aca="false">C14/C9</f>
        <v>0.137416608986348</v>
      </c>
      <c r="D15" s="24" t="n">
        <f aca="false">D14/D9</f>
        <v>0.138595982265116</v>
      </c>
      <c r="E15" s="24" t="n">
        <f aca="false">E14/E9</f>
        <v>0.185078608118427</v>
      </c>
      <c r="F15" s="24" t="n">
        <f aca="false">F14/F9</f>
        <v>0.185284185861274</v>
      </c>
      <c r="G15" s="24" t="n">
        <f aca="false">G14/G9</f>
        <v>0.233324271519589</v>
      </c>
      <c r="H15" s="24" t="n">
        <f aca="false">H14/H9</f>
        <v>0.228665472320265</v>
      </c>
      <c r="I15" s="24" t="n">
        <f aca="false">I14/I9</f>
        <v>0.223900562760225</v>
      </c>
      <c r="J15" s="24" t="n">
        <f aca="false">J14/J9</f>
        <v>0.219028972642411</v>
      </c>
      <c r="K15" s="24" t="n">
        <f aca="false">K14/K9</f>
        <v>0.214050140657274</v>
      </c>
      <c r="L15" s="24" t="n">
        <f aca="false">L14/L9</f>
        <v>0.208963514007399</v>
      </c>
    </row>
    <row r="17" customFormat="false" ht="15" hidden="false" customHeight="false" outlineLevel="0" collapsed="false">
      <c r="A17" s="11" t="s">
        <v>213</v>
      </c>
      <c r="C17" s="8" t="n">
        <f aca="false">-MAX(0,C14)*Inputs!$B$29</f>
        <v>-23.3275</v>
      </c>
      <c r="D17" s="8" t="n">
        <f aca="false">-MAX(0,D14)*Inputs!$B$29</f>
        <v>-24.734875</v>
      </c>
      <c r="E17" s="8" t="n">
        <f aca="false">-MAX(0,E14)*Inputs!$B$29</f>
        <v>-36.6624671</v>
      </c>
      <c r="F17" s="8" t="n">
        <f aca="false">-MAX(0,F14)*Inputs!$B$29</f>
        <v>-38.557344293</v>
      </c>
      <c r="G17" s="8" t="n">
        <f aca="false">-MAX(0,G14)*Inputs!$B$29</f>
        <v>-54.1994096415901</v>
      </c>
      <c r="H17" s="8" t="n">
        <f aca="false">-MAX(0,H14)*Inputs!$B$29</f>
        <v>-55.4692787423458</v>
      </c>
      <c r="I17" s="8" t="n">
        <f aca="false">-MAX(0,I14)*Inputs!$B$29</f>
        <v>-56.7227039645944</v>
      </c>
      <c r="J17" s="8" t="n">
        <f aca="false">-MAX(0,J14)*Inputs!$B$29</f>
        <v>-57.954260936878</v>
      </c>
      <c r="K17" s="8" t="n">
        <f aca="false">-MAX(0,K14)*Inputs!$B$29</f>
        <v>-59.1579837603881</v>
      </c>
      <c r="L17" s="8" t="n">
        <f aca="false">-MAX(0,L14)*Inputs!$B$29</f>
        <v>-60.3273218887278</v>
      </c>
    </row>
    <row r="18" customFormat="false" ht="15" hidden="false" customHeight="false" outlineLevel="0" collapsed="false">
      <c r="A18" s="11" t="s">
        <v>214</v>
      </c>
      <c r="C18" s="8" t="n">
        <f aca="false">-Inputs!$B$30</f>
        <v>-10</v>
      </c>
      <c r="D18" s="8" t="n">
        <f aca="false">-Inputs!$B$30</f>
        <v>-10</v>
      </c>
      <c r="E18" s="8" t="n">
        <f aca="false">-Inputs!$B$30</f>
        <v>-10</v>
      </c>
      <c r="F18" s="8" t="n">
        <f aca="false">-Inputs!$B$30</f>
        <v>-10</v>
      </c>
      <c r="G18" s="8" t="n">
        <f aca="false">-Inputs!$B$30</f>
        <v>-10</v>
      </c>
      <c r="H18" s="8" t="n">
        <f aca="false">-Inputs!$B$30</f>
        <v>-10</v>
      </c>
      <c r="I18" s="8" t="n">
        <f aca="false">-Inputs!$B$30</f>
        <v>-10</v>
      </c>
      <c r="J18" s="8" t="n">
        <f aca="false">-Inputs!$B$30</f>
        <v>-10</v>
      </c>
      <c r="K18" s="8" t="n">
        <f aca="false">-Inputs!$B$30</f>
        <v>-10</v>
      </c>
      <c r="L18" s="8" t="n">
        <f aca="false">-Inputs!$B$30</f>
        <v>-10</v>
      </c>
    </row>
    <row r="19" customFormat="false" ht="15" hidden="false" customHeight="false" outlineLevel="0" collapsed="false">
      <c r="A19" s="11" t="s">
        <v>215</v>
      </c>
      <c r="C19" s="8" t="n">
        <f aca="false">-IF(C$5&lt;=2029,Inputs!$B$31,Inputs!$B$32)</f>
        <v>-37.5</v>
      </c>
      <c r="D19" s="8" t="n">
        <f aca="false">-IF(D$5&lt;=2029,Inputs!$B$31,Inputs!$B$32)</f>
        <v>-37.5</v>
      </c>
      <c r="E19" s="8" t="n">
        <f aca="false">-IF(E$5&lt;=2029,Inputs!$B$31,Inputs!$B$32)</f>
        <v>-37.5</v>
      </c>
      <c r="F19" s="8" t="n">
        <f aca="false">-IF(F$5&lt;=2029,Inputs!$B$31,Inputs!$B$32)</f>
        <v>-37.5</v>
      </c>
      <c r="G19" s="8" t="n">
        <f aca="false">-IF(G$5&lt;=2029,Inputs!$B$31,Inputs!$B$32)</f>
        <v>-38</v>
      </c>
      <c r="H19" s="8" t="n">
        <f aca="false">-IF(H$5&lt;=2029,Inputs!$B$31,Inputs!$B$32)</f>
        <v>-38</v>
      </c>
      <c r="I19" s="8" t="n">
        <f aca="false">-IF(I$5&lt;=2029,Inputs!$B$31,Inputs!$B$32)</f>
        <v>-38</v>
      </c>
      <c r="J19" s="8" t="n">
        <f aca="false">-IF(J$5&lt;=2029,Inputs!$B$31,Inputs!$B$32)</f>
        <v>-38</v>
      </c>
      <c r="K19" s="8" t="n">
        <f aca="false">-IF(K$5&lt;=2029,Inputs!$B$31,Inputs!$B$32)</f>
        <v>-38</v>
      </c>
      <c r="L19" s="8" t="n">
        <f aca="false">-IF(L$5&lt;=2029,Inputs!$B$31,Inputs!$B$32)</f>
        <v>-38</v>
      </c>
    </row>
    <row r="20" customFormat="false" ht="15" hidden="false" customHeight="false" outlineLevel="0" collapsed="false">
      <c r="A20" s="26" t="s">
        <v>216</v>
      </c>
      <c r="C20" s="7" t="n">
        <f aca="false">C14+C17+C18+C19</f>
        <v>22.4825</v>
      </c>
      <c r="D20" s="7" t="n">
        <f aca="false">D14+D17+D18+D19</f>
        <v>26.7046250000001</v>
      </c>
      <c r="E20" s="7" t="n">
        <f aca="false">E14+E17+E18+E19</f>
        <v>62.4874013</v>
      </c>
      <c r="F20" s="7" t="n">
        <f aca="false">F14+F17+F18+F19</f>
        <v>68.172032879</v>
      </c>
      <c r="G20" s="7" t="n">
        <f aca="false">G14+G17+G18+G19</f>
        <v>114.59822892477</v>
      </c>
      <c r="H20" s="7" t="n">
        <f aca="false">H14+H17+H18+H19</f>
        <v>118.407836227037</v>
      </c>
      <c r="I20" s="7" t="n">
        <f aca="false">I14+I17+I18+I19</f>
        <v>122.168111893783</v>
      </c>
      <c r="J20" s="7" t="n">
        <f aca="false">J14+J17+J18+J19</f>
        <v>125.862782810634</v>
      </c>
      <c r="K20" s="7" t="n">
        <f aca="false">K14+K17+K18+K19</f>
        <v>129.473951281164</v>
      </c>
      <c r="L20" s="7" t="n">
        <f aca="false">L14+L17+L18+L19</f>
        <v>132.981965666183</v>
      </c>
    </row>
    <row r="22" customFormat="false" ht="15" hidden="false" customHeight="false" outlineLevel="0" collapsed="false">
      <c r="A22" s="11" t="s">
        <v>217</v>
      </c>
      <c r="C22" s="33" t="n">
        <v>1</v>
      </c>
      <c r="D22" s="33" t="n">
        <v>2</v>
      </c>
      <c r="E22" s="33" t="n">
        <v>3</v>
      </c>
      <c r="F22" s="33" t="n">
        <v>4</v>
      </c>
      <c r="G22" s="33" t="n">
        <v>5</v>
      </c>
      <c r="H22" s="33" t="n">
        <v>6</v>
      </c>
      <c r="I22" s="33" t="n">
        <v>7</v>
      </c>
      <c r="J22" s="33" t="n">
        <v>8</v>
      </c>
      <c r="K22" s="33" t="n">
        <v>9</v>
      </c>
      <c r="L22" s="33" t="n">
        <v>10</v>
      </c>
    </row>
    <row r="23" customFormat="false" ht="15" hidden="false" customHeight="false" outlineLevel="0" collapsed="false">
      <c r="A23" s="11" t="s">
        <v>218</v>
      </c>
      <c r="C23" s="34" t="n">
        <f aca="false">1/(1+Inputs!$B$33)^C22</f>
        <v>0.925925925925926</v>
      </c>
      <c r="D23" s="34" t="n">
        <f aca="false">1/(1+Inputs!$B$33)^D22</f>
        <v>0.857338820301783</v>
      </c>
      <c r="E23" s="34" t="n">
        <f aca="false">1/(1+Inputs!$B$33)^E22</f>
        <v>0.79383224102017</v>
      </c>
      <c r="F23" s="34" t="n">
        <f aca="false">1/(1+Inputs!$B$33)^F22</f>
        <v>0.735029852796453</v>
      </c>
      <c r="G23" s="34" t="n">
        <f aca="false">1/(1+Inputs!$B$33)^G22</f>
        <v>0.680583197033753</v>
      </c>
      <c r="H23" s="34" t="n">
        <f aca="false">1/(1+Inputs!$B$33)^H22</f>
        <v>0.630169626883105</v>
      </c>
      <c r="I23" s="34" t="n">
        <f aca="false">1/(1+Inputs!$B$33)^I22</f>
        <v>0.583490395262134</v>
      </c>
      <c r="J23" s="34" t="n">
        <f aca="false">1/(1+Inputs!$B$33)^J22</f>
        <v>0.540268884501976</v>
      </c>
      <c r="K23" s="34" t="n">
        <f aca="false">1/(1+Inputs!$B$33)^K22</f>
        <v>0.500248967131459</v>
      </c>
      <c r="L23" s="34" t="n">
        <f aca="false">1/(1+Inputs!$B$33)^L22</f>
        <v>0.463193488084684</v>
      </c>
    </row>
    <row r="24" customFormat="false" ht="15" hidden="false" customHeight="false" outlineLevel="0" collapsed="false">
      <c r="A24" s="11" t="s">
        <v>219</v>
      </c>
      <c r="C24" s="8" t="n">
        <f aca="false">C20*C23</f>
        <v>20.8171296296296</v>
      </c>
      <c r="D24" s="8" t="n">
        <f aca="false">D20*D23</f>
        <v>22.8949116941016</v>
      </c>
      <c r="E24" s="8" t="n">
        <f aca="false">E20*E23</f>
        <v>49.6045138095057</v>
      </c>
      <c r="F24" s="8" t="n">
        <f aca="false">F20*F23</f>
        <v>50.1084792918864</v>
      </c>
      <c r="G24" s="8" t="n">
        <f aca="false">G20*G23</f>
        <v>77.993629016026</v>
      </c>
      <c r="H24" s="8" t="n">
        <f aca="false">H20*H23</f>
        <v>74.6170219752279</v>
      </c>
      <c r="I24" s="8" t="n">
        <f aca="false">I20*I23</f>
        <v>71.2839198973322</v>
      </c>
      <c r="J24" s="8" t="n">
        <f aca="false">J20*J23</f>
        <v>67.9997452694157</v>
      </c>
      <c r="K24" s="8" t="n">
        <f aca="false">K20*K23</f>
        <v>64.7692103988313</v>
      </c>
      <c r="L24" s="8" t="n">
        <f aca="false">L20*L23</f>
        <v>61.5963805292772</v>
      </c>
    </row>
    <row r="27" customFormat="false" ht="15" hidden="false" customHeight="false" outlineLevel="0" collapsed="false">
      <c r="A27" s="10" t="s">
        <v>220</v>
      </c>
    </row>
    <row r="28" customFormat="false" ht="15" hidden="false" customHeight="false" outlineLevel="0" collapsed="false">
      <c r="A28" s="11" t="s">
        <v>221</v>
      </c>
      <c r="B28" s="8" t="n">
        <f aca="false">SUM(C24:L24)</f>
        <v>561.684941511233</v>
      </c>
    </row>
    <row r="30" customFormat="false" ht="15" hidden="false" customHeight="false" outlineLevel="0" collapsed="false">
      <c r="A30" s="26" t="s">
        <v>222</v>
      </c>
    </row>
    <row r="31" customFormat="false" ht="15" hidden="false" customHeight="false" outlineLevel="0" collapsed="false">
      <c r="A31" s="27" t="s">
        <v>223</v>
      </c>
      <c r="B31" s="8" t="n">
        <f aca="false">L9*Inputs!$B$34</f>
        <v>13857.497871884</v>
      </c>
    </row>
    <row r="32" customFormat="false" ht="15" hidden="false" customHeight="false" outlineLevel="0" collapsed="false">
      <c r="A32" s="27" t="s">
        <v>224</v>
      </c>
      <c r="B32" s="8" t="n">
        <f aca="false">B31*L23</f>
        <v>6418.70277540404</v>
      </c>
    </row>
    <row r="33" customFormat="false" ht="15" hidden="false" customHeight="false" outlineLevel="0" collapsed="false">
      <c r="A33" s="27" t="s">
        <v>225</v>
      </c>
      <c r="B33" s="35" t="n">
        <f aca="false">B28+B32</f>
        <v>6980.38771691527</v>
      </c>
    </row>
    <row r="34" customFormat="false" ht="15" hidden="false" customHeight="false" outlineLevel="0" collapsed="false">
      <c r="A34" s="27" t="s">
        <v>226</v>
      </c>
      <c r="B34" s="28" t="n">
        <f aca="false">B33/B9</f>
        <v>10.8055537413549</v>
      </c>
    </row>
    <row r="36" customFormat="false" ht="15" hidden="false" customHeight="false" outlineLevel="0" collapsed="false">
      <c r="A36" s="26" t="s">
        <v>227</v>
      </c>
    </row>
    <row r="37" customFormat="false" ht="15" hidden="false" customHeight="false" outlineLevel="0" collapsed="false">
      <c r="A37" s="27" t="s">
        <v>223</v>
      </c>
      <c r="B37" s="8" t="n">
        <f aca="false">L20*(1+Inputs!$B$35)/(Inputs!$B$33-Inputs!$B$35)</f>
        <v>3457.53110732077</v>
      </c>
    </row>
    <row r="38" customFormat="false" ht="15" hidden="false" customHeight="false" outlineLevel="0" collapsed="false">
      <c r="A38" s="27" t="s">
        <v>224</v>
      </c>
      <c r="B38" s="8" t="n">
        <f aca="false">B37*L23</f>
        <v>1601.50589376121</v>
      </c>
    </row>
    <row r="39" customFormat="false" ht="15" hidden="false" customHeight="false" outlineLevel="0" collapsed="false">
      <c r="A39" s="27" t="s">
        <v>225</v>
      </c>
      <c r="B39" s="35" t="n">
        <f aca="false">B28+B38</f>
        <v>2163.19083527244</v>
      </c>
    </row>
    <row r="40" customFormat="false" ht="15" hidden="false" customHeight="false" outlineLevel="0" collapsed="false">
      <c r="A40" s="27" t="s">
        <v>226</v>
      </c>
      <c r="B40" s="28" t="n">
        <f aca="false">B39/B9</f>
        <v>3.34859262426074</v>
      </c>
    </row>
    <row r="42" customFormat="false" ht="15" hidden="false" customHeight="false" outlineLevel="0" collapsed="false">
      <c r="A42" s="26" t="s">
        <v>228</v>
      </c>
      <c r="B42" s="36" t="n">
        <f aca="false">Inputs!$B$6</f>
        <v>8100</v>
      </c>
    </row>
    <row r="43" customFormat="false" ht="15" hidden="false" customHeight="false" outlineLevel="0" collapsed="false">
      <c r="A43" s="26" t="s">
        <v>229</v>
      </c>
      <c r="B43" s="30" t="n">
        <f aca="false">B42/B39</f>
        <v>3.74446852673535</v>
      </c>
    </row>
    <row r="44" customFormat="false" ht="15" hidden="false" customHeight="false" outlineLevel="0" collapsed="false">
      <c r="A44" s="26" t="s">
        <v>230</v>
      </c>
      <c r="B44" s="29" t="n">
        <f aca="false">B39/B42</f>
        <v>0.267060596947215</v>
      </c>
    </row>
    <row r="47" customFormat="false" ht="15" hidden="false" customHeight="false" outlineLevel="0" collapsed="false">
      <c r="A47" s="10" t="s">
        <v>231</v>
      </c>
    </row>
    <row r="48" customFormat="false" ht="15" hidden="false" customHeight="false" outlineLevel="0" collapsed="false">
      <c r="A48" s="11" t="s">
        <v>232</v>
      </c>
      <c r="B48" s="37" t="n">
        <v>10</v>
      </c>
      <c r="C48" s="37" t="n">
        <v>11</v>
      </c>
      <c r="D48" s="37" t="n">
        <v>12</v>
      </c>
      <c r="E48" s="37" t="n">
        <v>13</v>
      </c>
      <c r="F48" s="37" t="n">
        <v>14</v>
      </c>
    </row>
    <row r="49" customFormat="false" ht="15" hidden="false" customHeight="false" outlineLevel="0" collapsed="false">
      <c r="A49" s="38" t="n">
        <v>0.07</v>
      </c>
      <c r="B49" s="8" t="n">
        <f aca="false">SUMPRODUCT($C$20:$L$20,1/(1+$A49)^$C$22:$L$22)+B$48*$L$9/(1+$A49)^$L$22</f>
        <v>6465.69442703955</v>
      </c>
      <c r="C49" s="8" t="n">
        <f aca="false">SUMPRODUCT($C$20:$L$20,1/(1+$A49)^$C$22:$L$22)+C$48*$L$9/(1+$A49)^$L$22</f>
        <v>7052.73186320043</v>
      </c>
      <c r="D49" s="8" t="n">
        <f aca="false">SUMPRODUCT($C$20:$L$20,1/(1+$A49)^$C$22:$L$22)+D$48*$L$9/(1+$A49)^$L$22</f>
        <v>7639.76929936131</v>
      </c>
      <c r="E49" s="8" t="n">
        <f aca="false">SUMPRODUCT($C$20:$L$20,1/(1+$A49)^$C$22:$L$22)+E$48*$L$9/(1+$A49)^$L$22</f>
        <v>8226.80673552219</v>
      </c>
      <c r="F49" s="8" t="n">
        <f aca="false">SUMPRODUCT($C$20:$L$20,1/(1+$A49)^$C$22:$L$22)+F$48*$L$9/(1+$A49)^$L$22</f>
        <v>8813.84417168308</v>
      </c>
    </row>
    <row r="50" customFormat="false" ht="15" hidden="false" customHeight="false" outlineLevel="0" collapsed="false">
      <c r="A50" s="38" t="n">
        <v>0.08</v>
      </c>
      <c r="B50" s="8" t="n">
        <f aca="false">SUMPRODUCT($C$20:$L$20,1/(1+$A50)^$C$22:$L$22)+B$48*$L$9/(1+$A50)^$L$22</f>
        <v>5910.6039210146</v>
      </c>
      <c r="C50" s="8" t="n">
        <f aca="false">SUMPRODUCT($C$20:$L$20,1/(1+$A50)^$C$22:$L$22)+C$48*$L$9/(1+$A50)^$L$22</f>
        <v>6445.49581896494</v>
      </c>
      <c r="D50" s="8" t="n">
        <f aca="false">SUMPRODUCT($C$20:$L$20,1/(1+$A50)^$C$22:$L$22)+D$48*$L$9/(1+$A50)^$L$22</f>
        <v>6980.38771691528</v>
      </c>
      <c r="E50" s="8" t="n">
        <f aca="false">SUMPRODUCT($C$20:$L$20,1/(1+$A50)^$C$22:$L$22)+E$48*$L$9/(1+$A50)^$L$22</f>
        <v>7515.27961486561</v>
      </c>
      <c r="F50" s="8" t="n">
        <f aca="false">SUMPRODUCT($C$20:$L$20,1/(1+$A50)^$C$22:$L$22)+F$48*$L$9/(1+$A50)^$L$22</f>
        <v>8050.17151281595</v>
      </c>
    </row>
    <row r="51" customFormat="false" ht="15" hidden="false" customHeight="false" outlineLevel="0" collapsed="false">
      <c r="A51" s="38" t="n">
        <v>0.09</v>
      </c>
      <c r="B51" s="8" t="n">
        <f aca="false">SUMPRODUCT($C$20:$L$20,1/(1+$A51)^$C$22:$L$22)+B$48*$L$9/(1+$A51)^$L$22</f>
        <v>5408.48002965734</v>
      </c>
      <c r="C51" s="8" t="n">
        <f aca="false">SUMPRODUCT($C$20:$L$20,1/(1+$A51)^$C$22:$L$22)+C$48*$L$9/(1+$A51)^$L$22</f>
        <v>5896.27643445882</v>
      </c>
      <c r="D51" s="8" t="n">
        <f aca="false">SUMPRODUCT($C$20:$L$20,1/(1+$A51)^$C$22:$L$22)+D$48*$L$9/(1+$A51)^$L$22</f>
        <v>6384.0728392603</v>
      </c>
      <c r="E51" s="8" t="n">
        <f aca="false">SUMPRODUCT($C$20:$L$20,1/(1+$A51)^$C$22:$L$22)+E$48*$L$9/(1+$A51)^$L$22</f>
        <v>6871.86924406179</v>
      </c>
      <c r="F51" s="8" t="n">
        <f aca="false">SUMPRODUCT($C$20:$L$20,1/(1+$A51)^$C$22:$L$22)+F$48*$L$9/(1+$A51)^$L$22</f>
        <v>7359.66564886327</v>
      </c>
    </row>
    <row r="52" customFormat="false" ht="15" hidden="false" customHeight="false" outlineLevel="0" collapsed="false">
      <c r="A52" s="38" t="n">
        <v>0.1</v>
      </c>
      <c r="B52" s="8" t="n">
        <f aca="false">SUMPRODUCT($C$20:$L$20,1/(1+$A52)^$C$22:$L$22)+B$48*$L$9/(1+$A52)^$L$22</f>
        <v>4953.82178850134</v>
      </c>
      <c r="C52" s="8" t="n">
        <f aca="false">SUMPRODUCT($C$20:$L$20,1/(1+$A52)^$C$22:$L$22)+C$48*$L$9/(1+$A52)^$L$22</f>
        <v>5399.04389790041</v>
      </c>
      <c r="D52" s="8" t="n">
        <f aca="false">SUMPRODUCT($C$20:$L$20,1/(1+$A52)^$C$22:$L$22)+D$48*$L$9/(1+$A52)^$L$22</f>
        <v>5844.26600729948</v>
      </c>
      <c r="E52" s="8" t="n">
        <f aca="false">SUMPRODUCT($C$20:$L$20,1/(1+$A52)^$C$22:$L$22)+E$48*$L$9/(1+$A52)^$L$22</f>
        <v>6289.48811669856</v>
      </c>
      <c r="F52" s="8" t="n">
        <f aca="false">SUMPRODUCT($C$20:$L$20,1/(1+$A52)^$C$22:$L$22)+F$48*$L$9/(1+$A52)^$L$22</f>
        <v>6734.71022609763</v>
      </c>
    </row>
    <row r="54" customFormat="false" ht="15" hidden="false" customHeight="false" outlineLevel="0" collapsed="false">
      <c r="A54" s="10" t="s">
        <v>233</v>
      </c>
    </row>
    <row r="55" customFormat="false" ht="15" hidden="false" customHeight="false" outlineLevel="0" collapsed="false">
      <c r="B55" s="38" t="n">
        <v>0.03</v>
      </c>
      <c r="C55" s="38" t="n">
        <v>0.035</v>
      </c>
      <c r="D55" s="38" t="n">
        <v>0.04</v>
      </c>
      <c r="E55" s="38" t="n">
        <v>0.045</v>
      </c>
      <c r="F55" s="38" t="n">
        <v>0.05</v>
      </c>
    </row>
    <row r="56" customFormat="false" ht="15" hidden="false" customHeight="false" outlineLevel="0" collapsed="false">
      <c r="A56" s="38" t="n">
        <v>0.07</v>
      </c>
      <c r="B56" s="8" t="n">
        <f aca="false">SUMPRODUCT($C$20:$L$20,1/(1+$A56)^$C$22:$L$22)+$L$20*(1+B$55)/($A56-B$55)/(1+$A56)^$L$22</f>
        <v>2336.05323434273</v>
      </c>
      <c r="C56" s="8" t="n">
        <f aca="false">SUMPRODUCT($C$20:$L$20,1/(1+$A56)^$C$22:$L$22)+$L$20*(1+C$55)/($A56-C$55)/(1+$A56)^$L$22</f>
        <v>2594.38672820345</v>
      </c>
      <c r="D56" s="8" t="n">
        <f aca="false">SUMPRODUCT($C$20:$L$20,1/(1+$A56)^$C$22:$L$22)+$L$20*(1+D$55)/($A56-D$55)/(1+$A56)^$L$22</f>
        <v>2938.83138668442</v>
      </c>
      <c r="E56" s="8" t="n">
        <f aca="false">SUMPRODUCT($C$20:$L$20,1/(1+$A56)^$C$22:$L$22)+$L$20*(1+E$55)/($A56-E$55)/(1+$A56)^$L$22</f>
        <v>3421.05390855778</v>
      </c>
      <c r="F56" s="8" t="n">
        <f aca="false">SUMPRODUCT($C$20:$L$20,1/(1+$A56)^$C$22:$L$22)+$L$20*(1+F$55)/($A56-F$55)/(1+$A56)^$L$22</f>
        <v>4144.38769136782</v>
      </c>
    </row>
    <row r="57" customFormat="false" ht="15" hidden="false" customHeight="false" outlineLevel="0" collapsed="false">
      <c r="A57" s="38" t="n">
        <v>0.08</v>
      </c>
      <c r="B57" s="8" t="n">
        <f aca="false">SUMPRODUCT($C$20:$L$20,1/(1+$A57)^$C$22:$L$22)+$L$20*(1+B$55)/($A57-B$55)/(1+$A57)^$L$22</f>
        <v>1830.57038041434</v>
      </c>
      <c r="C57" s="8" t="n">
        <f aca="false">SUMPRODUCT($C$20:$L$20,1/(1+$A57)^$C$22:$L$22)+$L$20*(1+C$55)/($A57-C$55)/(1+$A57)^$L$22</f>
        <v>1978.40169368461</v>
      </c>
      <c r="D57" s="8" t="n">
        <f aca="false">SUMPRODUCT($C$20:$L$20,1/(1+$A57)^$C$22:$L$22)+$L$20*(1+D$55)/($A57-D$55)/(1+$A57)^$L$22</f>
        <v>2163.19083527244</v>
      </c>
      <c r="E57" s="8" t="n">
        <f aca="false">SUMPRODUCT($C$20:$L$20,1/(1+$A57)^$C$22:$L$22)+$L$20*(1+E$55)/($A57-E$55)/(1+$A57)^$L$22</f>
        <v>2400.7768744568</v>
      </c>
      <c r="F57" s="8" t="n">
        <f aca="false">SUMPRODUCT($C$20:$L$20,1/(1+$A57)^$C$22:$L$22)+$L$20*(1+F$55)/($A57-F$55)/(1+$A57)^$L$22</f>
        <v>2717.55826003594</v>
      </c>
    </row>
    <row r="58" customFormat="false" ht="15" hidden="false" customHeight="false" outlineLevel="0" collapsed="false">
      <c r="A58" s="38" t="n">
        <v>0.09</v>
      </c>
      <c r="B58" s="8" t="n">
        <f aca="false">SUMPRODUCT($C$20:$L$20,1/(1+$A58)^$C$22:$L$22)+$L$20*(1+B$55)/($A58-B$55)/(1+$A58)^$L$22</f>
        <v>1494.81948167943</v>
      </c>
      <c r="C58" s="8" t="n">
        <f aca="false">SUMPRODUCT($C$20:$L$20,1/(1+$A58)^$C$22:$L$22)+$L$20*(1+C$55)/($A58-C$55)/(1+$A58)^$L$22</f>
        <v>1587.5900743573</v>
      </c>
      <c r="D58" s="8" t="n">
        <f aca="false">SUMPRODUCT($C$20:$L$20,1/(1+$A58)^$C$22:$L$22)+$L$20*(1+D$55)/($A58-D$55)/(1+$A58)^$L$22</f>
        <v>1698.91478557074</v>
      </c>
      <c r="E58" s="8" t="n">
        <f aca="false">SUMPRODUCT($C$20:$L$20,1/(1+$A58)^$C$22:$L$22)+$L$20*(1+E$55)/($A58-E$55)/(1+$A58)^$L$22</f>
        <v>1834.97832149828</v>
      </c>
      <c r="F58" s="8" t="n">
        <f aca="false">SUMPRODUCT($C$20:$L$20,1/(1+$A58)^$C$22:$L$22)+$L$20*(1+F$55)/($A58-F$55)/(1+$A58)^$L$22</f>
        <v>2005.05774140771</v>
      </c>
    </row>
    <row r="59" customFormat="false" ht="15" hidden="false" customHeight="false" outlineLevel="0" collapsed="false">
      <c r="A59" s="38" t="n">
        <v>0.1</v>
      </c>
      <c r="B59" s="8" t="n">
        <f aca="false">SUMPRODUCT($C$20:$L$20,1/(1+$A59)^$C$22:$L$22)+$L$20*(1+B$55)/($A59-B$55)/(1+$A59)^$L$22</f>
        <v>1256.00660325456</v>
      </c>
      <c r="C59" s="8" t="n">
        <f aca="false">SUMPRODUCT($C$20:$L$20,1/(1+$A59)^$C$22:$L$22)+$L$20*(1+C$55)/($A59-C$55)/(1+$A59)^$L$22</f>
        <v>1317.98169657931</v>
      </c>
      <c r="D59" s="8" t="n">
        <f aca="false">SUMPRODUCT($C$20:$L$20,1/(1+$A59)^$C$22:$L$22)+$L$20*(1+D$55)/($A59-D$55)/(1+$A59)^$L$22</f>
        <v>1390.28597212485</v>
      </c>
      <c r="E59" s="8" t="n">
        <f aca="false">SUMPRODUCT($C$20:$L$20,1/(1+$A59)^$C$22:$L$22)+$L$20*(1+E$55)/($A59-E$55)/(1+$A59)^$L$22</f>
        <v>1475.73647958775</v>
      </c>
      <c r="F59" s="8" t="n">
        <f aca="false">SUMPRODUCT($C$20:$L$20,1/(1+$A59)^$C$22:$L$22)+$L$20*(1+F$55)/($A59-F$55)/(1+$A59)^$L$22</f>
        <v>1578.27708854325</v>
      </c>
    </row>
    <row r="61" customFormat="false" ht="15" hidden="false" customHeight="true" outlineLevel="0" collapsed="false">
      <c r="A61" s="31" t="s">
        <v>234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customFormat="false" ht="15" hidden="false" customHeight="false" outlineLevel="0" collapsed="false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</row>
    <row r="63" customFormat="false" ht="15" hidden="false" customHeight="false" outlineLevel="0" collapsed="false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</row>
  </sheetData>
  <mergeCells count="1">
    <mergeCell ref="A61:L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236</v>
      </c>
    </row>
    <row r="4" customFormat="false" ht="15" hidden="false" customHeight="false" outlineLevel="0" collapsed="false">
      <c r="A4" s="4"/>
      <c r="B4" s="4" t="s">
        <v>237</v>
      </c>
      <c r="C4" s="4" t="s">
        <v>238</v>
      </c>
      <c r="D4" s="4" t="s">
        <v>239</v>
      </c>
      <c r="E4" s="4" t="s">
        <v>240</v>
      </c>
    </row>
    <row r="5" customFormat="false" ht="15" hidden="false" customHeight="false" outlineLevel="0" collapsed="false">
      <c r="A5" s="11" t="s">
        <v>241</v>
      </c>
      <c r="B5" s="6" t="n">
        <f aca="false">Inputs!$B$6</f>
        <v>8100</v>
      </c>
      <c r="C5" s="6" t="n">
        <f aca="false">Inputs!$B$6</f>
        <v>8100</v>
      </c>
      <c r="D5" s="6" t="n">
        <f aca="false">Inputs!$B$6</f>
        <v>8100</v>
      </c>
    </row>
    <row r="6" customFormat="false" ht="15" hidden="false" customHeight="false" outlineLevel="0" collapsed="false">
      <c r="A6" s="11" t="s">
        <v>242</v>
      </c>
      <c r="B6" s="8" t="n">
        <f aca="false">-B5*Inputs!$B$11</f>
        <v>-162</v>
      </c>
      <c r="C6" s="8" t="n">
        <f aca="false">-C5*Inputs!$B$11</f>
        <v>-162</v>
      </c>
      <c r="D6" s="8" t="n">
        <f aca="false">-D5*Inputs!$B$11</f>
        <v>-162</v>
      </c>
    </row>
    <row r="7" customFormat="false" ht="15" hidden="false" customHeight="false" outlineLevel="0" collapsed="false">
      <c r="A7" s="11" t="s">
        <v>243</v>
      </c>
      <c r="B7" s="8" t="n">
        <f aca="false">B5+B6</f>
        <v>7938</v>
      </c>
      <c r="C7" s="8" t="n">
        <f aca="false">C5+C6</f>
        <v>7938</v>
      </c>
      <c r="D7" s="8" t="n">
        <f aca="false">D5+D6</f>
        <v>7938</v>
      </c>
    </row>
    <row r="8" customFormat="false" ht="15" hidden="false" customHeight="false" outlineLevel="0" collapsed="false">
      <c r="A8" s="11" t="s">
        <v>244</v>
      </c>
      <c r="B8" s="39" t="n">
        <f aca="false">Inputs!$B$38</f>
        <v>0.2</v>
      </c>
      <c r="C8" s="39" t="n">
        <f aca="false">Inputs!$B$38</f>
        <v>0.2</v>
      </c>
      <c r="D8" s="39" t="n">
        <f aca="false">Inputs!$B$38</f>
        <v>0.2</v>
      </c>
    </row>
    <row r="9" customFormat="false" ht="15" hidden="false" customHeight="false" outlineLevel="0" collapsed="false">
      <c r="A9" s="11" t="s">
        <v>88</v>
      </c>
      <c r="B9" s="39" t="n">
        <f aca="false">Inputs!$B$37</f>
        <v>0.1</v>
      </c>
      <c r="C9" s="39" t="n">
        <f aca="false">Inputs!$B$37</f>
        <v>0.1</v>
      </c>
      <c r="D9" s="39" t="n">
        <f aca="false">Inputs!$B$37</f>
        <v>0.1</v>
      </c>
    </row>
    <row r="10" customFormat="false" ht="15" hidden="false" customHeight="false" outlineLevel="0" collapsed="false">
      <c r="A10" s="26" t="s">
        <v>245</v>
      </c>
      <c r="B10" s="7" t="n">
        <f aca="false">B7*(1-B8)*B9</f>
        <v>635.04</v>
      </c>
      <c r="C10" s="7" t="n">
        <f aca="false">C7*(1-C8)*C9</f>
        <v>635.04</v>
      </c>
      <c r="D10" s="7" t="n">
        <f aca="false">D7*(1-D8)*D9</f>
        <v>635.04</v>
      </c>
    </row>
    <row r="12" customFormat="false" ht="15" hidden="false" customHeight="false" outlineLevel="0" collapsed="false">
      <c r="A12" s="11" t="s">
        <v>246</v>
      </c>
      <c r="B12" s="39" t="n">
        <f aca="false">Inputs!$B$41</f>
        <v>0.05</v>
      </c>
      <c r="C12" s="39" t="n">
        <f aca="false">Inputs!$B$40</f>
        <v>0.1</v>
      </c>
      <c r="D12" s="39" t="n">
        <f aca="false">Inputs!$B$42</f>
        <v>0.15</v>
      </c>
    </row>
    <row r="13" customFormat="false" ht="15" hidden="false" customHeight="false" outlineLevel="0" collapsed="false">
      <c r="A13" s="11" t="s">
        <v>92</v>
      </c>
      <c r="B13" s="40" t="n">
        <f aca="false">Inputs!$B$39</f>
        <v>6</v>
      </c>
      <c r="C13" s="40" t="n">
        <f aca="false">Inputs!$B$39</f>
        <v>6</v>
      </c>
      <c r="D13" s="40" t="n">
        <f aca="false">Inputs!$B$39</f>
        <v>6</v>
      </c>
    </row>
    <row r="14" customFormat="false" ht="15" hidden="false" customHeight="false" outlineLevel="0" collapsed="false">
      <c r="A14" s="11" t="s">
        <v>247</v>
      </c>
      <c r="B14" s="8" t="n">
        <f aca="false">B7*(1+B12)^B13</f>
        <v>10637.6791952813</v>
      </c>
      <c r="C14" s="8" t="n">
        <f aca="false">C7*(1+C12)^C13</f>
        <v>14062.651218</v>
      </c>
      <c r="D14" s="8" t="n">
        <f aca="false">D7*(1+D12)^D13</f>
        <v>18361.0763575312</v>
      </c>
    </row>
    <row r="15" customFormat="false" ht="15" hidden="false" customHeight="false" outlineLevel="0" collapsed="false">
      <c r="A15" s="11" t="s">
        <v>248</v>
      </c>
      <c r="B15" s="39" t="n">
        <f aca="false">Inputs!$B$43</f>
        <v>0.1</v>
      </c>
      <c r="C15" s="39" t="n">
        <f aca="false">Inputs!$B$43</f>
        <v>0.1</v>
      </c>
      <c r="D15" s="39" t="n">
        <f aca="false">Inputs!$B$43</f>
        <v>0.1</v>
      </c>
    </row>
    <row r="16" customFormat="false" ht="15" hidden="false" customHeight="false" outlineLevel="0" collapsed="false">
      <c r="A16" s="26" t="s">
        <v>249</v>
      </c>
      <c r="B16" s="7" t="n">
        <f aca="false">B14*(1-B15)*B9</f>
        <v>957.391127575313</v>
      </c>
      <c r="C16" s="7" t="n">
        <f aca="false">C14*(1-C15)*C9</f>
        <v>1265.63860962</v>
      </c>
      <c r="D16" s="7" t="n">
        <f aca="false">D14*(1-D15)*D9</f>
        <v>1652.49687217781</v>
      </c>
    </row>
    <row r="17" customFormat="false" ht="15" hidden="false" customHeight="false" outlineLevel="0" collapsed="false">
      <c r="A17" s="11" t="s">
        <v>250</v>
      </c>
      <c r="B17" s="8" t="n">
        <f aca="false">SUM(DCF!$C$20:$H$20)*B9*0.5</f>
        <v>20.6426312165404</v>
      </c>
      <c r="C17" s="8" t="n">
        <f aca="false">SUM(DCF!$C$20:$H$20)*C9*0.5</f>
        <v>20.6426312165404</v>
      </c>
      <c r="D17" s="8" t="n">
        <f aca="false">SUM(DCF!$C$20:$H$20)*D9*0.5</f>
        <v>20.6426312165404</v>
      </c>
    </row>
    <row r="19" customFormat="false" ht="15" hidden="false" customHeight="false" outlineLevel="0" collapsed="false">
      <c r="A19" s="26" t="s">
        <v>251</v>
      </c>
      <c r="B19" s="30" t="n">
        <f aca="false">(B16+B17)/B10</f>
        <v>1.54011362873497</v>
      </c>
      <c r="C19" s="30" t="n">
        <f aca="false">(C16+C17)/C10</f>
        <v>2.02551215803184</v>
      </c>
      <c r="D19" s="30" t="n">
        <f aca="false">(D16+D17)/D10</f>
        <v>2.63469939435996</v>
      </c>
    </row>
    <row r="20" customFormat="false" ht="15" hidden="false" customHeight="false" outlineLevel="0" collapsed="false">
      <c r="A20" s="26" t="s">
        <v>252</v>
      </c>
      <c r="B20" s="41" t="n">
        <f aca="false">((B16+B17)/B10)^(1/B13)-1</f>
        <v>0.0746295882146486</v>
      </c>
      <c r="C20" s="41" t="n">
        <f aca="false">((C16+C17)/C10)^(1/C13)-1</f>
        <v>0.124835831764832</v>
      </c>
      <c r="D20" s="41" t="n">
        <f aca="false">((D16+D17)/D10)^(1/D13)-1</f>
        <v>0.175227229382827</v>
      </c>
    </row>
    <row r="21" customFormat="false" ht="15" hidden="false" customHeight="false" outlineLevel="0" collapsed="false">
      <c r="A21" s="11" t="s">
        <v>253</v>
      </c>
      <c r="B21" s="39" t="n">
        <f aca="false">Inputs!$B$44</f>
        <v>0.15</v>
      </c>
      <c r="C21" s="39" t="n">
        <f aca="false">Inputs!$B$44</f>
        <v>0.15</v>
      </c>
      <c r="D21" s="39" t="n">
        <f aca="false">Inputs!$B$44</f>
        <v>0.15</v>
      </c>
    </row>
    <row r="22" customFormat="false" ht="15" hidden="false" customHeight="false" outlineLevel="0" collapsed="false">
      <c r="A22" s="26" t="s">
        <v>254</v>
      </c>
      <c r="B22" s="42" t="str">
        <f aca="false">IF(B20&gt;=B21,"YES","NO")</f>
        <v>NO</v>
      </c>
      <c r="C22" s="42" t="str">
        <f aca="false">IF(C20&gt;=C21,"YES","NO")</f>
        <v>NO</v>
      </c>
      <c r="D22" s="42" t="str">
        <f aca="false">IF(D20&gt;=D21,"YES","NO")</f>
        <v>YES</v>
      </c>
    </row>
    <row r="24" customFormat="false" ht="15" hidden="false" customHeight="false" outlineLevel="0" collapsed="false">
      <c r="A24" s="26" t="s">
        <v>255</v>
      </c>
      <c r="C24" s="41" t="n">
        <f aca="false">((1+C21)^C13*C10/((1-C15)*C9*C7))^(1/C13)-1</f>
        <v>0.127645055482604</v>
      </c>
    </row>
    <row r="26" customFormat="false" ht="15" hidden="false" customHeight="true" outlineLevel="0" collapsed="false">
      <c r="A26" s="31" t="s">
        <v>256</v>
      </c>
      <c r="B26" s="31"/>
      <c r="C26" s="31"/>
      <c r="D26" s="31"/>
      <c r="E26" s="31"/>
    </row>
    <row r="27" customFormat="false" ht="15" hidden="false" customHeight="false" outlineLevel="0" collapsed="false">
      <c r="A27" s="31"/>
      <c r="B27" s="31"/>
      <c r="C27" s="31"/>
      <c r="D27" s="31"/>
      <c r="E27" s="31"/>
    </row>
    <row r="28" customFormat="false" ht="15" hidden="false" customHeight="false" outlineLevel="0" collapsed="false">
      <c r="A28" s="31"/>
      <c r="B28" s="31"/>
      <c r="C28" s="31"/>
      <c r="D28" s="31"/>
      <c r="E28" s="31"/>
    </row>
    <row r="29" customFormat="false" ht="15" hidden="false" customHeight="false" outlineLevel="0" collapsed="false">
      <c r="A29" s="31"/>
      <c r="B29" s="31"/>
      <c r="C29" s="31"/>
      <c r="D29" s="31"/>
      <c r="E29" s="31"/>
    </row>
  </sheetData>
  <mergeCells count="1">
    <mergeCell ref="A26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customFormat="false" ht="15" hidden="false" customHeight="false" outlineLevel="0" collapsed="false">
      <c r="A3" s="11" t="s">
        <v>258</v>
      </c>
      <c r="B3" s="43" t="s">
        <v>259</v>
      </c>
    </row>
    <row r="4" customFormat="false" ht="15" hidden="false" customHeight="false" outlineLevel="0" collapsed="false">
      <c r="A4" s="11" t="s">
        <v>260</v>
      </c>
      <c r="B4" s="43" t="s">
        <v>261</v>
      </c>
    </row>
    <row r="5" customFormat="false" ht="15" hidden="false" customHeight="false" outlineLevel="0" collapsed="false">
      <c r="A5" s="11" t="s">
        <v>262</v>
      </c>
      <c r="B5" s="43" t="s">
        <v>263</v>
      </c>
    </row>
    <row r="6" customFormat="false" ht="15" hidden="false" customHeight="false" outlineLevel="0" collapsed="false">
      <c r="A6" s="11" t="s">
        <v>264</v>
      </c>
      <c r="B6" s="43" t="s">
        <v>265</v>
      </c>
    </row>
    <row r="7" customFormat="false" ht="15" hidden="false" customHeight="false" outlineLevel="0" collapsed="false">
      <c r="A7" s="11" t="s">
        <v>266</v>
      </c>
      <c r="B7" s="43" t="s">
        <v>267</v>
      </c>
    </row>
    <row r="8" customFormat="false" ht="15" hidden="false" customHeight="false" outlineLevel="0" collapsed="false">
      <c r="A8" s="11" t="s">
        <v>268</v>
      </c>
      <c r="B8" s="43" t="s">
        <v>269</v>
      </c>
    </row>
    <row r="9" customFormat="false" ht="15" hidden="false" customHeight="false" outlineLevel="0" collapsed="false">
      <c r="A9" s="11" t="s">
        <v>270</v>
      </c>
      <c r="B9" s="43" t="s">
        <v>271</v>
      </c>
    </row>
    <row r="10" customFormat="false" ht="15" hidden="false" customHeight="false" outlineLevel="0" collapsed="false">
      <c r="A10" s="11" t="s">
        <v>272</v>
      </c>
      <c r="B10" s="43" t="s">
        <v>273</v>
      </c>
    </row>
    <row r="11" customFormat="false" ht="15" hidden="false" customHeight="false" outlineLevel="0" collapsed="false">
      <c r="A11" s="11" t="s">
        <v>274</v>
      </c>
      <c r="B11" s="43" t="s">
        <v>275</v>
      </c>
    </row>
    <row r="12" customFormat="false" ht="15" hidden="false" customHeight="false" outlineLevel="0" collapsed="false">
      <c r="A12" s="11" t="s">
        <v>276</v>
      </c>
      <c r="B12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2026-10-16T04:32:52Z</dcterms:created>
  <dc:creator>openpyxl</dc:creator>
  <dc:description/>
  <dc:language>en-US</dc:language>
  <cp:lastModifiedBy/>
  <dcterms:modified xsi:type="dcterms:W3CDTF">2026-10-16T00:32:54Z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